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" sheetId="1" r:id="rId4"/>
    <sheet state="visible" name="Ram" sheetId="2" r:id="rId5"/>
    <sheet state="visible" name="Finan" sheetId="3" r:id="rId6"/>
    <sheet state="visible" name="Dyan" sheetId="4" r:id="rId7"/>
    <sheet state="visible" name="Rehan" sheetId="5" r:id="rId8"/>
    <sheet state="visible" name="Anuba" sheetId="6" r:id="rId9"/>
    <sheet state="visible" name="Sachu" sheetId="7" r:id="rId10"/>
    <sheet state="visible" name="Sreeju" sheetId="8" r:id="rId11"/>
    <sheet state="visible" name="Achu" sheetId="9" r:id="rId12"/>
    <sheet state="visible" name="Anu Shigha" sheetId="10" r:id="rId13"/>
    <sheet state="visible" name="Nebil " sheetId="11" r:id="rId14"/>
    <sheet state="visible" name="Vishnu" sheetId="12" r:id="rId15"/>
    <sheet state="visible" name="Siddharth" sheetId="13" r:id="rId16"/>
  </sheets>
  <definedNames/>
  <calcPr/>
</workbook>
</file>

<file path=xl/sharedStrings.xml><?xml version="1.0" encoding="utf-8"?>
<sst xmlns="http://schemas.openxmlformats.org/spreadsheetml/2006/main" count="858" uniqueCount="89">
  <si>
    <t>FREELANCER SHEET</t>
  </si>
  <si>
    <t>COMPANY NAME</t>
  </si>
  <si>
    <t>DATE ASSIGNED</t>
  </si>
  <si>
    <t>TASK</t>
  </si>
  <si>
    <t>INCHARGE</t>
  </si>
  <si>
    <t>DUTY</t>
  </si>
  <si>
    <t>QTY</t>
  </si>
  <si>
    <t>COST FOR ONE WORK</t>
  </si>
  <si>
    <t>TOTAL COST(F*G)</t>
  </si>
  <si>
    <t>SUBMISSION DATE</t>
  </si>
  <si>
    <t xml:space="preserve">INCHARGE + BONUS </t>
  </si>
  <si>
    <t>INCHARGE + BONUS + WORK</t>
  </si>
  <si>
    <t>HOBO AMOUNT</t>
  </si>
  <si>
    <t>Sony Tyres</t>
  </si>
  <si>
    <t>Short video design</t>
  </si>
  <si>
    <t>Anu Shigha</t>
  </si>
  <si>
    <t>Poster Design</t>
  </si>
  <si>
    <t>Ram</t>
  </si>
  <si>
    <t>Nebil Divay</t>
  </si>
  <si>
    <t>Vishnu Kalpamangalam</t>
  </si>
  <si>
    <t>Dyan</t>
  </si>
  <si>
    <t>Anuba</t>
  </si>
  <si>
    <t>Siddharth Mohan</t>
  </si>
  <si>
    <t>Sachu</t>
  </si>
  <si>
    <t>Achu</t>
  </si>
  <si>
    <t>Content for Poster</t>
  </si>
  <si>
    <t>Rehan</t>
  </si>
  <si>
    <t>Sreeju</t>
  </si>
  <si>
    <t>NIL</t>
  </si>
  <si>
    <t>Alfah Cements</t>
  </si>
  <si>
    <t>Hobo</t>
  </si>
  <si>
    <t>Prince Tyres</t>
  </si>
  <si>
    <t>Finan</t>
  </si>
  <si>
    <t>Name/Task</t>
  </si>
  <si>
    <t>Short Video Design</t>
  </si>
  <si>
    <t>Long Video Design</t>
  </si>
  <si>
    <t>Content for Video</t>
  </si>
  <si>
    <t>Poster Incharge</t>
  </si>
  <si>
    <t>Reel Incharge</t>
  </si>
  <si>
    <t>Ad Running</t>
  </si>
  <si>
    <t>In-Charge</t>
  </si>
  <si>
    <t>Company</t>
  </si>
  <si>
    <t>Creative Design</t>
  </si>
  <si>
    <t>Social Media Management</t>
  </si>
  <si>
    <t>RAM WORKSHEET</t>
  </si>
  <si>
    <t>Date Assigned</t>
  </si>
  <si>
    <t>Last Date</t>
  </si>
  <si>
    <t>Assigned by</t>
  </si>
  <si>
    <t>Task</t>
  </si>
  <si>
    <t>Qty</t>
  </si>
  <si>
    <t>Amount</t>
  </si>
  <si>
    <t>Total</t>
  </si>
  <si>
    <t>Grand Total</t>
  </si>
  <si>
    <t>Nomadism Industries</t>
  </si>
  <si>
    <t>HOBO</t>
  </si>
  <si>
    <t>Creative Marketing Agency</t>
  </si>
  <si>
    <t>Pallikuni, Kariyad South, Kannur 673316</t>
  </si>
  <si>
    <t>Payslip</t>
  </si>
  <si>
    <t xml:space="preserve">Submitted on </t>
  </si>
  <si>
    <t>Invoice for</t>
  </si>
  <si>
    <t>Payable to</t>
  </si>
  <si>
    <t>Invoice #</t>
  </si>
  <si>
    <t>Company name</t>
  </si>
  <si>
    <t>Street address</t>
  </si>
  <si>
    <t>Project</t>
  </si>
  <si>
    <t>Due date</t>
  </si>
  <si>
    <t>City, State, Zip</t>
  </si>
  <si>
    <t>Project name</t>
  </si>
  <si>
    <t>Description</t>
  </si>
  <si>
    <t>Unit price</t>
  </si>
  <si>
    <t>Total price</t>
  </si>
  <si>
    <t>Notes:</t>
  </si>
  <si>
    <t>Subtotal</t>
  </si>
  <si>
    <t>Adjustments</t>
  </si>
  <si>
    <t>FINAN WORKSHEET</t>
  </si>
  <si>
    <t>123 Your Street</t>
  </si>
  <si>
    <t>Your City, ST 12345</t>
  </si>
  <si>
    <t>(123) 456-7890</t>
  </si>
  <si>
    <t>Invoice</t>
  </si>
  <si>
    <t>DYAN WORKSHEET</t>
  </si>
  <si>
    <t>DD WORKSHEET</t>
  </si>
  <si>
    <t>SACHU WORKSHEET</t>
  </si>
  <si>
    <t>SREEJU WORKSHEET</t>
  </si>
  <si>
    <t>AKK WORKSHEET</t>
  </si>
  <si>
    <t>ANU SHIGHA WORKSHEET</t>
  </si>
  <si>
    <t>Incharge</t>
  </si>
  <si>
    <t>NEBIL WORKSHEET</t>
  </si>
  <si>
    <t>VISHNU WORKSHEET</t>
  </si>
  <si>
    <t>SIDDHARTH WORKSHEET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</si>
</sst>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[$₹]#,##0.00"/>
    <numFmt numFmtId="166" formatCode="mmm&quot; &quot;d&quot;, &quot;yyyy"/>
  </numFmts>
  <fonts count="33">
    <font>
      <sz val="10.0"/>
      <color rgb="FF000000"/>
      <name val="Arial"/>
      <scheme val="minor"/>
    </font>
    <font>
      <b/>
      <sz val="36.0"/>
      <color theme="1"/>
      <name val="Roboto"/>
    </font>
    <font>
      <color theme="1"/>
      <name val="Arial"/>
      <scheme val="minor"/>
    </font>
    <font>
      <b/>
      <sz val="13.0"/>
      <color theme="1"/>
      <name val="Roboto"/>
    </font>
    <font>
      <sz val="12.0"/>
      <color theme="1"/>
      <name val="Roboto"/>
    </font>
    <font>
      <b/>
      <sz val="12.0"/>
      <color theme="1"/>
      <name val="Roboto"/>
    </font>
    <font>
      <b/>
      <sz val="21.0"/>
      <color rgb="FF7E3794"/>
      <name val="Arial"/>
      <scheme val="minor"/>
    </font>
    <font>
      <b/>
      <sz val="11.0"/>
      <color theme="1"/>
      <name val="Roboto"/>
    </font>
    <font>
      <b/>
      <sz val="12.0"/>
      <color theme="1"/>
      <name val="Arial"/>
    </font>
    <font>
      <color theme="1"/>
      <name val="Arial"/>
    </font>
    <font>
      <b/>
      <sz val="30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sz val="9.0"/>
      <color rgb="FFF7981D"/>
      <name val="Arial"/>
      <scheme val="minor"/>
    </font>
    <font>
      <sz val="24.0"/>
      <color rgb="FF6D64E8"/>
      <name val="Roboto"/>
    </font>
    <font>
      <b/>
      <sz val="12.0"/>
      <color rgb="FF666666"/>
      <name val="Roboto"/>
    </font>
    <font>
      <sz val="12.0"/>
      <color rgb="FF666666"/>
      <name val="&quot;docs-Roboto&quot;"/>
    </font>
    <font>
      <sz val="12.0"/>
      <color rgb="FF666666"/>
      <name val="Roboto"/>
    </font>
    <font>
      <b/>
      <sz val="34.0"/>
      <color rgb="FF283592"/>
      <name val="Roboto"/>
    </font>
    <font>
      <b/>
      <sz val="14.0"/>
      <color rgb="FFE01B84"/>
      <name val="Roboto"/>
    </font>
    <font>
      <b/>
      <sz val="14.0"/>
      <color rgb="FF434343"/>
      <name val="Roboto"/>
    </font>
    <font>
      <color rgb="FF666666"/>
      <name val="Roboto"/>
    </font>
    <font>
      <b/>
      <sz val="12.0"/>
      <color rgb="FF434343"/>
      <name val="Roboto"/>
    </font>
    <font/>
    <font>
      <b/>
      <sz val="13.0"/>
      <color rgb="FF2A3990"/>
      <name val="Roboto"/>
    </font>
    <font>
      <sz val="13.0"/>
      <color rgb="FF000000"/>
      <name val="Roboto"/>
    </font>
    <font>
      <sz val="13.0"/>
      <color rgb="FF666666"/>
      <name val="Roboto"/>
    </font>
    <font>
      <sz val="13.0"/>
      <color theme="1"/>
      <name val="Arial"/>
    </font>
    <font>
      <sz val="11.0"/>
      <color rgb="FF999999"/>
      <name val="Roboto"/>
    </font>
    <font>
      <sz val="11.0"/>
      <color rgb="FF2A3990"/>
      <name val="Roboto"/>
    </font>
    <font>
      <b/>
      <sz val="11.0"/>
      <color rgb="FF000000"/>
      <name val="Roboto"/>
    </font>
    <font>
      <b/>
      <sz val="11.0"/>
      <color rgb="FF666666"/>
      <name val="Roboto"/>
    </font>
    <font>
      <b/>
      <sz val="20.0"/>
      <color rgb="FFE01B84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283592"/>
        <bgColor rgb="FF283592"/>
      </patternFill>
    </fill>
  </fills>
  <borders count="13">
    <border/>
    <border>
      <left style="medium">
        <color rgb="FF274E13"/>
      </left>
      <right style="thick">
        <color rgb="FF274E13"/>
      </right>
      <top style="medium">
        <color rgb="FF274E13"/>
      </top>
      <bottom style="medium">
        <color rgb="FF274E13"/>
      </bottom>
    </border>
    <border>
      <right style="thick">
        <color rgb="FF274E13"/>
      </right>
      <top style="medium">
        <color rgb="FF274E13"/>
      </top>
      <bottom style="medium">
        <color rgb="FF274E13"/>
      </bottom>
    </border>
    <border>
      <top style="medium">
        <color rgb="FF274E13"/>
      </top>
      <bottom style="medium">
        <color rgb="FF274E13"/>
      </bottom>
    </border>
    <border>
      <left style="medium">
        <color rgb="FF274E13"/>
      </left>
      <right style="thick">
        <color rgb="FF274E13"/>
      </right>
      <bottom style="medium">
        <color rgb="FF274E13"/>
      </bottom>
    </border>
    <border>
      <right style="thick">
        <color rgb="FF274E13"/>
      </right>
      <bottom style="medium">
        <color rgb="FF274E13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bottom style="thin">
        <color rgb="FFB7B7B7"/>
      </bottom>
    </border>
    <border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Fill="1" applyFont="1"/>
    <xf borderId="0" fillId="3" fontId="3" numFmtId="0" xfId="0" applyAlignment="1" applyFon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vertical="center"/>
    </xf>
    <xf borderId="0" fillId="4" fontId="5" numFmtId="164" xfId="0" applyAlignment="1" applyFont="1" applyNumberForma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5" numFmtId="0" xfId="0" applyAlignment="1" applyFont="1">
      <alignment horizontal="center" vertical="center"/>
    </xf>
    <xf borderId="0" fillId="4" fontId="5" numFmtId="164" xfId="0" applyAlignment="1" applyFont="1" applyNumberForma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6" numFmtId="0" xfId="0" applyAlignment="1" applyFont="1">
      <alignment horizontal="center" vertical="center"/>
    </xf>
    <xf borderId="0" fillId="3" fontId="5" numFmtId="164" xfId="0" applyAlignment="1" applyFont="1" applyNumberForma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center" vertical="center"/>
    </xf>
    <xf borderId="0" fillId="3" fontId="5" numFmtId="164" xfId="0" applyAlignment="1" applyFont="1" applyNumberForma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4" fontId="5" numFmtId="164" xfId="0" applyAlignment="1" applyFont="1" applyNumberFormat="1">
      <alignment horizontal="center" vertical="center"/>
    </xf>
    <xf borderId="0" fillId="3" fontId="5" numFmtId="164" xfId="0" applyAlignment="1" applyFont="1" applyNumberFormat="1">
      <alignment horizontal="center" vertical="center"/>
    </xf>
    <xf borderId="0" fillId="4" fontId="4" numFmtId="0" xfId="0" applyAlignment="1" applyFont="1">
      <alignment horizontal="center" vertical="center"/>
    </xf>
    <xf borderId="0" fillId="3" fontId="4" numFmtId="0" xfId="0" applyAlignment="1" applyFont="1">
      <alignment horizontal="center" vertical="center"/>
    </xf>
    <xf borderId="0" fillId="3" fontId="6" numFmtId="0" xfId="0" applyAlignment="1" applyFont="1">
      <alignment horizontal="center" vertical="center"/>
    </xf>
    <xf borderId="0" fillId="3" fontId="7" numFmtId="164" xfId="0" applyAlignment="1" applyFont="1" applyNumberFormat="1">
      <alignment horizontal="center" vertical="bottom"/>
    </xf>
    <xf borderId="0" fillId="0" fontId="7" numFmtId="164" xfId="0" applyAlignment="1" applyFont="1" applyNumberFormat="1">
      <alignment horizontal="center" vertical="bottom"/>
    </xf>
    <xf borderId="0" fillId="3" fontId="4" numFmtId="0" xfId="0" applyAlignment="1" applyFont="1">
      <alignment horizontal="center" readingOrder="0" vertical="center"/>
    </xf>
    <xf borderId="0" fillId="3" fontId="5" numFmtId="0" xfId="0" applyAlignment="1" applyFont="1">
      <alignment horizontal="center" vertical="center"/>
    </xf>
    <xf borderId="0" fillId="3" fontId="5" numFmtId="164" xfId="0" applyAlignment="1" applyFont="1" applyNumberForma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0" fontId="2" numFmtId="0" xfId="0" applyFont="1"/>
    <xf borderId="0" fillId="0" fontId="7" numFmtId="164" xfId="0" applyAlignment="1" applyFont="1" applyNumberFormat="1">
      <alignment horizontal="center" readingOrder="0" vertical="bottom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1" fillId="5" fontId="8" numFmtId="0" xfId="0" applyAlignment="1" applyBorder="1" applyFill="1" applyFont="1">
      <alignment horizontal="center"/>
    </xf>
    <xf borderId="2" fillId="5" fontId="8" numFmtId="0" xfId="0" applyAlignment="1" applyBorder="1" applyFont="1">
      <alignment horizontal="center"/>
    </xf>
    <xf borderId="3" fillId="5" fontId="8" numFmtId="0" xfId="0" applyAlignment="1" applyBorder="1" applyFont="1">
      <alignment horizontal="center" shrinkToFit="0" wrapText="0"/>
    </xf>
    <xf borderId="4" fillId="3" fontId="8" numFmtId="0" xfId="0" applyAlignment="1" applyBorder="1" applyFont="1">
      <alignment horizontal="center"/>
    </xf>
    <xf borderId="5" fillId="3" fontId="8" numFmtId="0" xfId="0" applyAlignment="1" applyBorder="1" applyFont="1">
      <alignment horizontal="center"/>
    </xf>
    <xf borderId="4" fillId="6" fontId="8" numFmtId="0" xfId="0" applyAlignment="1" applyBorder="1" applyFill="1" applyFont="1">
      <alignment horizontal="center"/>
    </xf>
    <xf borderId="5" fillId="3" fontId="8" numFmtId="0" xfId="0" applyAlignment="1" applyBorder="1" applyFont="1">
      <alignment horizontal="center" readingOrder="0"/>
    </xf>
    <xf borderId="4" fillId="6" fontId="9" numFmtId="0" xfId="0" applyBorder="1" applyFont="1"/>
    <xf borderId="4" fillId="3" fontId="9" numFmtId="0" xfId="0" applyBorder="1" applyFont="1"/>
    <xf borderId="0" fillId="7" fontId="10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3" fontId="11" numFmtId="0" xfId="0" applyAlignment="1" applyFont="1">
      <alignment horizontal="center" vertical="center"/>
    </xf>
    <xf borderId="0" fillId="8" fontId="12" numFmtId="0" xfId="0" applyAlignment="1" applyFill="1" applyFont="1">
      <alignment horizontal="center" readingOrder="0" vertical="bottom"/>
    </xf>
    <xf borderId="0" fillId="8" fontId="12" numFmtId="164" xfId="0" applyAlignment="1" applyFont="1" applyNumberFormat="1">
      <alignment horizontal="center" readingOrder="0" vertical="bottom"/>
    </xf>
    <xf borderId="0" fillId="8" fontId="12" numFmtId="165" xfId="0" applyAlignment="1" applyFont="1" applyNumberFormat="1">
      <alignment horizontal="center" vertical="bottom"/>
    </xf>
    <xf borderId="0" fillId="8" fontId="12" numFmtId="165" xfId="0" applyAlignment="1" applyFont="1" applyNumberFormat="1">
      <alignment horizontal="center" readingOrder="0" vertical="bottom"/>
    </xf>
    <xf borderId="0" fillId="0" fontId="13" numFmtId="0" xfId="0" applyFont="1"/>
    <xf borderId="0" fillId="8" fontId="12" numFmtId="164" xfId="0" applyAlignment="1" applyFont="1" applyNumberFormat="1">
      <alignment horizontal="center" readingOrder="0" vertical="bottom"/>
    </xf>
    <xf borderId="0" fillId="8" fontId="8" numFmtId="165" xfId="0" applyAlignment="1" applyFont="1" applyNumberFormat="1">
      <alignment horizontal="center" readingOrder="0" vertical="bottom"/>
    </xf>
    <xf borderId="6" fillId="9" fontId="9" numFmtId="0" xfId="0" applyAlignment="1" applyBorder="1" applyFill="1" applyFont="1">
      <alignment vertical="bottom"/>
    </xf>
    <xf borderId="6" fillId="9" fontId="9" numFmtId="14" xfId="0" applyAlignment="1" applyBorder="1" applyFont="1" applyNumberFormat="1">
      <alignment vertical="bottom"/>
    </xf>
    <xf borderId="7" fillId="9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14" xfId="0" applyAlignment="1" applyFont="1" applyNumberFormat="1">
      <alignment vertical="bottom"/>
    </xf>
    <xf borderId="8" fillId="0" fontId="9" numFmtId="0" xfId="0" applyAlignment="1" applyBorder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top"/>
    </xf>
    <xf borderId="0" fillId="0" fontId="9" numFmtId="0" xfId="0" applyFont="1"/>
    <xf borderId="8" fillId="0" fontId="9" numFmtId="0" xfId="0" applyBorder="1" applyFont="1"/>
    <xf borderId="0" fillId="0" fontId="17" numFmtId="0" xfId="0" applyAlignment="1" applyFont="1">
      <alignment horizontal="left" readingOrder="0"/>
    </xf>
    <xf borderId="0" fillId="0" fontId="12" numFmtId="0" xfId="0" applyFont="1"/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0" fillId="0" fontId="17" numFmtId="14" xfId="0" applyAlignment="1" applyFont="1" applyNumberFormat="1">
      <alignment readingOrder="0"/>
    </xf>
    <xf borderId="0" fillId="0" fontId="9" numFmtId="166" xfId="0" applyAlignment="1" applyFont="1" applyNumberFormat="1">
      <alignment vertical="bottom"/>
    </xf>
    <xf borderId="0" fillId="0" fontId="20" numFmtId="0" xfId="0" applyFont="1"/>
    <xf borderId="0" fillId="0" fontId="17" numFmtId="0" xfId="0" applyFont="1"/>
    <xf borderId="0" fillId="0" fontId="21" numFmtId="0" xfId="0" applyFont="1"/>
    <xf borderId="0" fillId="0" fontId="22" numFmtId="0" xfId="0" applyFont="1"/>
    <xf borderId="9" fillId="0" fontId="9" numFmtId="0" xfId="0" applyAlignment="1" applyBorder="1" applyFont="1">
      <alignment vertical="bottom"/>
    </xf>
    <xf borderId="9" fillId="0" fontId="23" numFmtId="0" xfId="0" applyBorder="1" applyFont="1"/>
    <xf borderId="0" fillId="0" fontId="24" numFmtId="0" xfId="0" applyFont="1"/>
    <xf borderId="0" fillId="0" fontId="24" numFmtId="0" xfId="0" applyAlignment="1" applyFont="1">
      <alignment horizontal="right"/>
    </xf>
    <xf borderId="0" fillId="6" fontId="25" numFmtId="0" xfId="0" applyAlignment="1" applyFont="1">
      <alignment readingOrder="0" vertical="center"/>
    </xf>
    <xf borderId="0" fillId="6" fontId="26" numFmtId="0" xfId="0" applyAlignment="1" applyFont="1">
      <alignment horizontal="right" vertical="bottom"/>
    </xf>
    <xf borderId="0" fillId="6" fontId="26" numFmtId="165" xfId="0" applyAlignment="1" applyFont="1" applyNumberFormat="1">
      <alignment horizontal="right" vertical="bottom"/>
    </xf>
    <xf borderId="0" fillId="6" fontId="26" numFmtId="165" xfId="0" applyAlignment="1" applyFont="1" applyNumberFormat="1">
      <alignment horizontal="right"/>
    </xf>
    <xf borderId="0" fillId="3" fontId="25" numFmtId="0" xfId="0" applyAlignment="1" applyFont="1">
      <alignment readingOrder="0" vertical="center"/>
    </xf>
    <xf borderId="0" fillId="3" fontId="26" numFmtId="165" xfId="0" applyAlignment="1" applyFont="1" applyNumberFormat="1">
      <alignment horizontal="right"/>
    </xf>
    <xf borderId="0" fillId="6" fontId="27" numFmtId="0" xfId="0" applyAlignment="1" applyFont="1">
      <alignment readingOrder="0" vertical="center"/>
    </xf>
    <xf borderId="0" fillId="3" fontId="27" numFmtId="0" xfId="0" applyAlignment="1" applyFont="1">
      <alignment readingOrder="0" vertical="center"/>
    </xf>
    <xf borderId="9" fillId="6" fontId="27" numFmtId="0" xfId="0" applyAlignment="1" applyBorder="1" applyFont="1">
      <alignment readingOrder="0" vertical="center"/>
    </xf>
    <xf borderId="9" fillId="6" fontId="27" numFmtId="0" xfId="0" applyAlignment="1" applyBorder="1" applyFont="1">
      <alignment vertical="center"/>
    </xf>
    <xf borderId="10" fillId="6" fontId="26" numFmtId="165" xfId="0" applyAlignment="1" applyBorder="1" applyFont="1" applyNumberFormat="1">
      <alignment horizontal="right" vertical="bottom"/>
    </xf>
    <xf borderId="9" fillId="6" fontId="26" numFmtId="165" xfId="0" applyAlignment="1" applyBorder="1" applyFont="1" applyNumberFormat="1">
      <alignment horizontal="right"/>
    </xf>
    <xf borderId="0" fillId="0" fontId="28" numFmtId="0" xfId="0" applyAlignment="1" applyFont="1">
      <alignment vertical="bottom"/>
    </xf>
    <xf borderId="0" fillId="0" fontId="29" numFmtId="0" xfId="0" applyAlignment="1" applyFont="1">
      <alignment horizontal="right" vertical="bottom"/>
    </xf>
    <xf borderId="0" fillId="0" fontId="30" numFmtId="165" xfId="0" applyAlignment="1" applyFont="1" applyNumberFormat="1">
      <alignment horizontal="right" vertical="bottom"/>
    </xf>
    <xf borderId="0" fillId="0" fontId="31" numFmtId="165" xfId="0" applyAlignment="1" applyFont="1" applyNumberFormat="1">
      <alignment horizontal="right" readingOrder="0" vertical="bottom"/>
    </xf>
    <xf borderId="0" fillId="0" fontId="32" numFmtId="165" xfId="0" applyAlignment="1" applyFont="1" applyNumberFormat="1">
      <alignment horizontal="right"/>
    </xf>
    <xf borderId="0" fillId="0" fontId="9" numFmtId="14" xfId="0" applyFont="1" applyNumberFormat="1"/>
    <xf borderId="8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17" numFmtId="0" xfId="0" applyAlignment="1" applyFont="1">
      <alignment vertical="bottom"/>
    </xf>
    <xf borderId="0" fillId="0" fontId="17" numFmtId="0" xfId="0" applyAlignment="1" applyFont="1">
      <alignment vertical="top"/>
    </xf>
    <xf borderId="0" fillId="0" fontId="18" numFmtId="0" xfId="0" applyAlignment="1" applyFont="1">
      <alignment vertical="bottom"/>
    </xf>
    <xf borderId="0" fillId="0" fontId="29" numFmtId="165" xfId="0" applyAlignment="1" applyFont="1" applyNumberFormat="1">
      <alignment horizontal="right" vertical="bottom"/>
    </xf>
    <xf borderId="0" fillId="8" fontId="11" numFmtId="165" xfId="0" applyAlignment="1" applyFont="1" applyNumberFormat="1">
      <alignment horizontal="center" readingOrder="0" vertical="bottom"/>
    </xf>
    <xf borderId="0" fillId="6" fontId="25" numFmtId="165" xfId="0" applyAlignment="1" applyFont="1" applyNumberFormat="1">
      <alignment readingOrder="0" vertical="center"/>
    </xf>
    <xf borderId="0" fillId="6" fontId="26" numFmtId="0" xfId="0" applyAlignment="1" applyFont="1">
      <alignment horizontal="right" vertical="bottom"/>
    </xf>
    <xf borderId="0" fillId="3" fontId="25" numFmtId="165" xfId="0" applyAlignment="1" applyFont="1" applyNumberFormat="1">
      <alignment readingOrder="0" vertical="center"/>
    </xf>
    <xf borderId="0" fillId="6" fontId="27" numFmtId="165" xfId="0" applyAlignment="1" applyFont="1" applyNumberFormat="1">
      <alignment readingOrder="0" vertical="center"/>
    </xf>
    <xf borderId="0" fillId="3" fontId="27" numFmtId="165" xfId="0" applyAlignment="1" applyFont="1" applyNumberFormat="1">
      <alignment readingOrder="0" vertical="center"/>
    </xf>
    <xf borderId="9" fillId="6" fontId="27" numFmtId="165" xfId="0" applyAlignment="1" applyBorder="1" applyFont="1" applyNumberFormat="1">
      <alignment readingOrder="0" vertical="center"/>
    </xf>
    <xf borderId="9" fillId="6" fontId="27" numFmtId="165" xfId="0" applyAlignment="1" applyBorder="1" applyFont="1" applyNumberFormat="1">
      <alignment vertical="center"/>
    </xf>
    <xf borderId="0" fillId="0" fontId="28" numFmtId="165" xfId="0" applyAlignment="1" applyFont="1" applyNumberFormat="1">
      <alignment vertical="bottom"/>
    </xf>
    <xf borderId="0" fillId="0" fontId="9" numFmtId="165" xfId="0" applyAlignment="1" applyFont="1" applyNumberFormat="1">
      <alignment vertical="bottom"/>
    </xf>
    <xf borderId="0" fillId="0" fontId="9" numFmtId="165" xfId="0" applyFont="1" applyNumberFormat="1"/>
    <xf borderId="0" fillId="6" fontId="26" numFmtId="165" xfId="0" applyAlignment="1" applyFont="1" applyNumberFormat="1">
      <alignment horizontal="right" vertical="bottom"/>
    </xf>
    <xf borderId="0" fillId="6" fontId="26" numFmtId="165" xfId="0" applyAlignment="1" applyFont="1" applyNumberFormat="1">
      <alignment horizontal="right"/>
    </xf>
    <xf borderId="0" fillId="3" fontId="26" numFmtId="165" xfId="0" applyAlignment="1" applyFont="1" applyNumberFormat="1">
      <alignment horizontal="right"/>
    </xf>
    <xf borderId="10" fillId="6" fontId="26" numFmtId="165" xfId="0" applyAlignment="1" applyBorder="1" applyFont="1" applyNumberFormat="1">
      <alignment horizontal="right" vertical="bottom"/>
    </xf>
    <xf borderId="9" fillId="6" fontId="26" numFmtId="165" xfId="0" applyAlignment="1" applyBorder="1" applyFont="1" applyNumberFormat="1">
      <alignment horizontal="right"/>
    </xf>
    <xf borderId="0" fillId="6" fontId="26" numFmtId="0" xfId="0" applyAlignment="1" applyFont="1">
      <alignment horizontal="right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Calcul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35:I155" displayName="Table_1" name="Table_1" id="1">
  <tableColumns count="9">
    <tableColumn name="Name/Task" id="1"/>
    <tableColumn name="Short Video Design" id="2"/>
    <tableColumn name="Long Video Design" id="3"/>
    <tableColumn name="Content for Poster" id="4"/>
    <tableColumn name="Content for Video" id="5"/>
    <tableColumn name="Poster Design" id="6"/>
    <tableColumn name="Poster Incharge" id="7"/>
    <tableColumn name="Reel Incharge" id="8"/>
    <tableColumn name="Ad Running" id="9"/>
  </tableColumns>
  <tableStyleInfo name="Calcul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63"/>
    <col customWidth="1" min="2" max="2" width="23.5"/>
    <col customWidth="1" min="3" max="3" width="23.75"/>
    <col customWidth="1" min="4" max="4" width="24.25"/>
    <col customWidth="1" min="5" max="5" width="20.5"/>
    <col customWidth="1" min="6" max="6" width="17.38"/>
    <col customWidth="1" min="7" max="7" width="21.88"/>
    <col customWidth="1" min="8" max="8" width="14.88"/>
    <col customWidth="1" min="9" max="9" width="16.63"/>
    <col customWidth="1" min="10" max="10" width="13.38"/>
    <col customWidth="1" min="11" max="11" width="15.88"/>
    <col customWidth="1" min="29" max="29" width="14.25"/>
    <col customWidth="1" min="30" max="30" width="14.13"/>
  </cols>
  <sheetData>
    <row r="1" ht="56.25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45.75" customHeight="1">
      <c r="A2" s="3" t="s">
        <v>1</v>
      </c>
      <c r="B2" s="4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4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20.25" customHeight="1">
      <c r="A3" s="6" t="s">
        <v>13</v>
      </c>
      <c r="B3" s="7">
        <v>45456.0</v>
      </c>
      <c r="C3" s="6" t="s">
        <v>14</v>
      </c>
      <c r="D3" s="6" t="s">
        <v>15</v>
      </c>
      <c r="E3" s="6" t="s">
        <v>15</v>
      </c>
      <c r="F3" s="8">
        <v>2.0</v>
      </c>
      <c r="G3" s="9">
        <f t="shared" ref="G3:G125" si="1">IF(OR(A3="NIL", C3="NIL", D3="NIL", E3="NIL"), 0,
   INDEX($B$136:$F$152, MATCH(E3, $A$136:$A$152, 0), MATCH(C3, $B$135:$F$135, 0)))</f>
        <v>312.5</v>
      </c>
      <c r="H3" s="8">
        <f t="shared" ref="H3:H125" si="2">G3*F3</f>
        <v>625</v>
      </c>
      <c r="I3" s="10">
        <v>45486.0</v>
      </c>
      <c r="J3" s="8">
        <f t="shared" ref="J3:J5" si="3">IF(OR(A3="NIL", C3="NIL", D3="NIL", E3="NIL"), 0,
  IFERROR(
    (INDEX($B$136:$G$136, 1, MATCH(C3, $B$135:$I$135, 0)) - G3) * F3 +
    INDEX($G$138:$I$141, MATCH(D3, $A$138:$A$141, 0), MATCH(C3, $B$135:$F$135, 0)) * F3,
  0)
)</f>
        <v>172</v>
      </c>
      <c r="K3" s="11">
        <f t="shared" ref="K3:K125" si="4">IFERROR(IFS(D3=E3,H3+J3,D3&lt;&gt;E3,J3),0)</f>
        <v>797</v>
      </c>
      <c r="L3" s="12">
        <f>SUM(VLOOKUP(A3,$A$165:$C$178,2,False)*25%,VLOOKUP(A3,$A$165:$C$178,3,False)*25%)</f>
        <v>1875</v>
      </c>
      <c r="M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B4" s="13">
        <v>45489.0</v>
      </c>
      <c r="C4" s="14" t="s">
        <v>14</v>
      </c>
      <c r="D4" s="14" t="s">
        <v>15</v>
      </c>
      <c r="E4" s="14" t="s">
        <v>15</v>
      </c>
      <c r="F4" s="15">
        <v>3.0</v>
      </c>
      <c r="G4" s="16">
        <f t="shared" si="1"/>
        <v>312.5</v>
      </c>
      <c r="H4" s="16">
        <f t="shared" si="2"/>
        <v>937.5</v>
      </c>
      <c r="I4" s="17">
        <v>45447.0</v>
      </c>
      <c r="J4" s="15">
        <f t="shared" si="3"/>
        <v>258</v>
      </c>
      <c r="K4" s="18">
        <f t="shared" si="4"/>
        <v>1195.5</v>
      </c>
      <c r="M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B5" s="19">
        <v>45455.0</v>
      </c>
      <c r="C5" s="6" t="s">
        <v>16</v>
      </c>
      <c r="D5" s="6" t="s">
        <v>15</v>
      </c>
      <c r="E5" s="6" t="s">
        <v>17</v>
      </c>
      <c r="F5" s="8">
        <v>1.0</v>
      </c>
      <c r="G5" s="9">
        <f t="shared" si="1"/>
        <v>100</v>
      </c>
      <c r="H5" s="9">
        <f t="shared" si="2"/>
        <v>100</v>
      </c>
      <c r="I5" s="10">
        <v>45455.0</v>
      </c>
      <c r="J5" s="8">
        <f t="shared" si="3"/>
        <v>0</v>
      </c>
      <c r="K5" s="11">
        <f t="shared" si="4"/>
        <v>0</v>
      </c>
      <c r="M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B6" s="20">
        <v>45448.0</v>
      </c>
      <c r="C6" s="14" t="s">
        <v>14</v>
      </c>
      <c r="D6" s="14" t="s">
        <v>18</v>
      </c>
      <c r="E6" s="14" t="s">
        <v>18</v>
      </c>
      <c r="F6" s="15">
        <v>2.0</v>
      </c>
      <c r="G6" s="16">
        <f t="shared" si="1"/>
        <v>312.5</v>
      </c>
      <c r="H6" s="15">
        <f t="shared" si="2"/>
        <v>625</v>
      </c>
      <c r="I6" s="17">
        <v>45455.0</v>
      </c>
      <c r="J6" s="15">
        <f t="array" ref="J6">IF(OR(A6="NIL", C6="NIL", D6="NIL", E6="NIL"), 0,
  IFERROR(
    (INDEX($B$136:$F$136, 1, MATCH(C6, $B$135:$F$135, 0)) - G6) * F6 +
    INDEX($G$138:$I$141, MATCH(D6, $A$138:$A$141, 0), MATCH(C6, $B$135:$F$135, 0)) * F6,
  0)
)</f>
        <v>172</v>
      </c>
      <c r="K6" s="18">
        <f t="shared" si="4"/>
        <v>797</v>
      </c>
      <c r="M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B7" s="19">
        <v>45458.0</v>
      </c>
      <c r="C7" s="21" t="s">
        <v>14</v>
      </c>
      <c r="D7" s="6" t="s">
        <v>19</v>
      </c>
      <c r="E7" s="6" t="s">
        <v>20</v>
      </c>
      <c r="F7" s="8">
        <v>10.0</v>
      </c>
      <c r="G7" s="9">
        <f t="shared" si="1"/>
        <v>200</v>
      </c>
      <c r="H7" s="8">
        <f t="shared" si="2"/>
        <v>2000</v>
      </c>
      <c r="I7" s="10">
        <v>45473.0</v>
      </c>
      <c r="J7" s="8">
        <f t="shared" ref="J7:J125" si="5">IFERROR(IFS(A7="NIL",0,C7="NIL",0,D7="NIL",0,E7="NIL",0,AND(D7=$A$138,C7=$F$135),SUM(($F$136-G7)*F7,$G$138*F7), AND(D7=$A$138,C7=$B$135),SUM(($B$136-G7)*F7,$H$138*F7),AND(D7=$A$138,C7=$C$135),SUM(($C$136-G7)*F7,$I$138*F7),AND(D7=$A$139,C7=$F$135),SUM(($F$136-G7)*F7,$G$139*F7), AND(D7=$A$139,C7=$B$135),SUM(($B$136-G7)*F7,$H$139*F7),AND(D7=$A$139,C7=$C$135),SUM(($C$136-G7)*F7,$I$139*F7),AND(D7=$A$140,C7=$F$135),SUM(($F$136-G7)*F7,$G$140*F7), AND(D7=$A$140,C7=$B$135),SUM(($B$136-G7)*F7,$H$140*F7),AND(D7=$A$140,C7=$C$135),SUM(($C$136-G7)*F7,$I$140*F7),AND(D7=$A$141,C7=$F$135),SUM(($F$136-G7)*F7,$G$141*F7), AND(D7=$A$141,C7=$B$135),SUM(($B$136-G7)*F7,$H$141*F7),AND(D7=$A$141,C7=$C$135),SUM(($C$136-G7)*F7,$I$141*F7)),"")</f>
        <v>2687.5</v>
      </c>
      <c r="K7" s="11">
        <f t="shared" si="4"/>
        <v>2687.5</v>
      </c>
      <c r="M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B8" s="13">
        <v>45457.0</v>
      </c>
      <c r="C8" s="14" t="s">
        <v>14</v>
      </c>
      <c r="D8" s="14" t="s">
        <v>15</v>
      </c>
      <c r="E8" s="14" t="s">
        <v>21</v>
      </c>
      <c r="F8" s="15">
        <v>2.0</v>
      </c>
      <c r="G8" s="16">
        <f t="shared" si="1"/>
        <v>35</v>
      </c>
      <c r="H8" s="16">
        <f t="shared" si="2"/>
        <v>70</v>
      </c>
      <c r="I8" s="17">
        <v>45447.0</v>
      </c>
      <c r="J8" s="15">
        <f t="shared" si="5"/>
        <v>867.5</v>
      </c>
      <c r="K8" s="18">
        <f t="shared" si="4"/>
        <v>867.5</v>
      </c>
      <c r="M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B9" s="7">
        <v>45471.0</v>
      </c>
      <c r="C9" s="21" t="s">
        <v>14</v>
      </c>
      <c r="D9" s="6" t="s">
        <v>19</v>
      </c>
      <c r="E9" s="6" t="s">
        <v>20</v>
      </c>
      <c r="F9" s="8">
        <v>2.0</v>
      </c>
      <c r="G9" s="9">
        <f t="shared" si="1"/>
        <v>200</v>
      </c>
      <c r="H9" s="9">
        <f t="shared" si="2"/>
        <v>400</v>
      </c>
      <c r="I9" s="10">
        <v>45447.0</v>
      </c>
      <c r="J9" s="8">
        <f t="shared" si="5"/>
        <v>537.5</v>
      </c>
      <c r="K9" s="11">
        <f t="shared" si="4"/>
        <v>537.5</v>
      </c>
      <c r="M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B10" s="13">
        <v>45464.0</v>
      </c>
      <c r="C10" s="14" t="s">
        <v>14</v>
      </c>
      <c r="D10" s="14" t="s">
        <v>22</v>
      </c>
      <c r="E10" s="14" t="s">
        <v>22</v>
      </c>
      <c r="F10" s="15">
        <v>2.0</v>
      </c>
      <c r="G10" s="16">
        <f t="shared" si="1"/>
        <v>312.5</v>
      </c>
      <c r="H10" s="15">
        <f t="shared" si="2"/>
        <v>625</v>
      </c>
      <c r="I10" s="17"/>
      <c r="J10" s="15">
        <f t="shared" si="5"/>
        <v>312.5</v>
      </c>
      <c r="K10" s="18">
        <f t="shared" si="4"/>
        <v>937.5</v>
      </c>
      <c r="M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B11" s="7">
        <v>45498.0</v>
      </c>
      <c r="C11" s="21" t="s">
        <v>16</v>
      </c>
      <c r="D11" s="6" t="s">
        <v>18</v>
      </c>
      <c r="E11" s="6" t="s">
        <v>23</v>
      </c>
      <c r="F11" s="8">
        <v>4.0</v>
      </c>
      <c r="G11" s="9">
        <f t="shared" si="1"/>
        <v>44</v>
      </c>
      <c r="H11" s="9">
        <f t="shared" si="2"/>
        <v>176</v>
      </c>
      <c r="I11" s="10">
        <v>45974.0</v>
      </c>
      <c r="J11" s="8">
        <f t="shared" si="5"/>
        <v>728</v>
      </c>
      <c r="K11" s="11">
        <f t="shared" si="4"/>
        <v>728</v>
      </c>
      <c r="M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B12" s="13">
        <v>45463.0</v>
      </c>
      <c r="C12" s="22" t="s">
        <v>16</v>
      </c>
      <c r="D12" s="14" t="s">
        <v>15</v>
      </c>
      <c r="E12" s="14" t="s">
        <v>24</v>
      </c>
      <c r="F12" s="15">
        <v>5.0</v>
      </c>
      <c r="G12" s="16">
        <f t="shared" si="1"/>
        <v>44</v>
      </c>
      <c r="H12" s="16">
        <f t="shared" si="2"/>
        <v>220</v>
      </c>
      <c r="I12" s="17"/>
      <c r="J12" s="15">
        <f t="shared" si="5"/>
        <v>910</v>
      </c>
      <c r="K12" s="18">
        <f t="shared" si="4"/>
        <v>910</v>
      </c>
      <c r="M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B13" s="7">
        <v>45470.0</v>
      </c>
      <c r="C13" s="21" t="s">
        <v>25</v>
      </c>
      <c r="D13" s="6" t="s">
        <v>15</v>
      </c>
      <c r="E13" s="6" t="s">
        <v>26</v>
      </c>
      <c r="F13" s="8">
        <v>2.0</v>
      </c>
      <c r="G13" s="9">
        <f t="shared" si="1"/>
        <v>22</v>
      </c>
      <c r="H13" s="9">
        <f t="shared" si="2"/>
        <v>44</v>
      </c>
      <c r="I13" s="10">
        <v>45987.0</v>
      </c>
      <c r="J13" s="8" t="str">
        <f t="shared" si="5"/>
        <v/>
      </c>
      <c r="K13" s="11" t="str">
        <f t="shared" si="4"/>
        <v/>
      </c>
      <c r="M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B14" s="13">
        <v>45532.0</v>
      </c>
      <c r="C14" s="22" t="s">
        <v>25</v>
      </c>
      <c r="D14" s="14" t="s">
        <v>18</v>
      </c>
      <c r="E14" s="14" t="s">
        <v>27</v>
      </c>
      <c r="F14" s="15">
        <v>1.0</v>
      </c>
      <c r="G14" s="16">
        <f t="shared" si="1"/>
        <v>44</v>
      </c>
      <c r="H14" s="16">
        <f t="shared" si="2"/>
        <v>44</v>
      </c>
      <c r="I14" s="17">
        <v>45979.0</v>
      </c>
      <c r="J14" s="15" t="str">
        <f t="shared" si="5"/>
        <v/>
      </c>
      <c r="K14" s="18" t="str">
        <f t="shared" si="4"/>
        <v/>
      </c>
      <c r="M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B15" s="7">
        <v>45525.0</v>
      </c>
      <c r="C15" s="6" t="s">
        <v>16</v>
      </c>
      <c r="D15" s="6" t="s">
        <v>28</v>
      </c>
      <c r="E15" s="6" t="s">
        <v>28</v>
      </c>
      <c r="F15" s="9"/>
      <c r="G15" s="9">
        <f t="shared" si="1"/>
        <v>0</v>
      </c>
      <c r="H15" s="9">
        <f t="shared" si="2"/>
        <v>0</v>
      </c>
      <c r="I15" s="10"/>
      <c r="J15" s="8">
        <f t="shared" si="5"/>
        <v>0</v>
      </c>
      <c r="K15" s="11">
        <f t="shared" si="4"/>
        <v>0</v>
      </c>
      <c r="M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4" t="s">
        <v>29</v>
      </c>
      <c r="B16" s="13">
        <v>45471.0</v>
      </c>
      <c r="C16" s="14" t="s">
        <v>25</v>
      </c>
      <c r="D16" s="14" t="s">
        <v>30</v>
      </c>
      <c r="E16" s="14" t="s">
        <v>17</v>
      </c>
      <c r="F16" s="15">
        <v>2.0</v>
      </c>
      <c r="G16" s="16">
        <f t="shared" si="1"/>
        <v>50</v>
      </c>
      <c r="H16" s="16">
        <f t="shared" si="2"/>
        <v>100</v>
      </c>
      <c r="I16" s="17">
        <v>45986.0</v>
      </c>
      <c r="J16" s="15" t="str">
        <f t="shared" si="5"/>
        <v/>
      </c>
      <c r="K16" s="18" t="str">
        <f t="shared" si="4"/>
        <v/>
      </c>
      <c r="L16" s="23">
        <f>SUM(VLOOKUP(A16,$A$165:$C$178,2,False)*25%,VLOOKUP(A16,$A$165:$C$178,3,False)*25%)</f>
        <v>1875</v>
      </c>
      <c r="M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B17" s="7">
        <v>45455.0</v>
      </c>
      <c r="C17" s="6" t="s">
        <v>28</v>
      </c>
      <c r="D17" s="6" t="s">
        <v>28</v>
      </c>
      <c r="E17" s="6" t="s">
        <v>28</v>
      </c>
      <c r="F17" s="9"/>
      <c r="G17" s="9">
        <f t="shared" si="1"/>
        <v>0</v>
      </c>
      <c r="H17" s="9">
        <f t="shared" si="2"/>
        <v>0</v>
      </c>
      <c r="I17" s="10"/>
      <c r="J17" s="8">
        <f t="shared" si="5"/>
        <v>0</v>
      </c>
      <c r="K17" s="11">
        <f t="shared" si="4"/>
        <v>0</v>
      </c>
      <c r="M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B18" s="20"/>
      <c r="C18" s="14" t="s">
        <v>28</v>
      </c>
      <c r="D18" s="14" t="s">
        <v>28</v>
      </c>
      <c r="E18" s="14" t="s">
        <v>28</v>
      </c>
      <c r="F18" s="16"/>
      <c r="G18" s="16">
        <f t="shared" si="1"/>
        <v>0</v>
      </c>
      <c r="H18" s="16">
        <f t="shared" si="2"/>
        <v>0</v>
      </c>
      <c r="I18" s="17"/>
      <c r="J18" s="15">
        <f t="shared" si="5"/>
        <v>0</v>
      </c>
      <c r="K18" s="18">
        <f t="shared" si="4"/>
        <v>0</v>
      </c>
      <c r="M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B19" s="19"/>
      <c r="C19" s="6" t="s">
        <v>28</v>
      </c>
      <c r="D19" s="6" t="s">
        <v>28</v>
      </c>
      <c r="E19" s="6" t="s">
        <v>28</v>
      </c>
      <c r="F19" s="9"/>
      <c r="G19" s="9">
        <f t="shared" si="1"/>
        <v>0</v>
      </c>
      <c r="H19" s="9">
        <f t="shared" si="2"/>
        <v>0</v>
      </c>
      <c r="I19" s="10"/>
      <c r="J19" s="8">
        <f t="shared" si="5"/>
        <v>0</v>
      </c>
      <c r="K19" s="11">
        <f t="shared" si="4"/>
        <v>0</v>
      </c>
      <c r="M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B20" s="20"/>
      <c r="C20" s="14" t="s">
        <v>28</v>
      </c>
      <c r="D20" s="14" t="s">
        <v>28</v>
      </c>
      <c r="E20" s="14" t="s">
        <v>28</v>
      </c>
      <c r="F20" s="16"/>
      <c r="G20" s="16">
        <f t="shared" si="1"/>
        <v>0</v>
      </c>
      <c r="H20" s="16">
        <f t="shared" si="2"/>
        <v>0</v>
      </c>
      <c r="I20" s="17"/>
      <c r="J20" s="15">
        <f t="shared" si="5"/>
        <v>0</v>
      </c>
      <c r="K20" s="18">
        <f t="shared" si="4"/>
        <v>0</v>
      </c>
      <c r="M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B21" s="19"/>
      <c r="C21" s="6" t="s">
        <v>28</v>
      </c>
      <c r="D21" s="6" t="s">
        <v>28</v>
      </c>
      <c r="E21" s="6" t="s">
        <v>28</v>
      </c>
      <c r="F21" s="8">
        <v>2.0</v>
      </c>
      <c r="G21" s="9">
        <f t="shared" si="1"/>
        <v>0</v>
      </c>
      <c r="H21" s="8">
        <f t="shared" si="2"/>
        <v>0</v>
      </c>
      <c r="I21" s="10"/>
      <c r="J21" s="8">
        <f t="shared" si="5"/>
        <v>0</v>
      </c>
      <c r="K21" s="11">
        <f t="shared" si="4"/>
        <v>0</v>
      </c>
      <c r="M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B22" s="20"/>
      <c r="C22" s="14" t="s">
        <v>28</v>
      </c>
      <c r="D22" s="14" t="s">
        <v>28</v>
      </c>
      <c r="E22" s="14" t="s">
        <v>28</v>
      </c>
      <c r="F22" s="16"/>
      <c r="G22" s="16">
        <f t="shared" si="1"/>
        <v>0</v>
      </c>
      <c r="H22" s="16">
        <f t="shared" si="2"/>
        <v>0</v>
      </c>
      <c r="I22" s="17"/>
      <c r="J22" s="15">
        <f t="shared" si="5"/>
        <v>0</v>
      </c>
      <c r="K22" s="18">
        <f t="shared" si="4"/>
        <v>0</v>
      </c>
      <c r="M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B23" s="19"/>
      <c r="C23" s="6" t="s">
        <v>28</v>
      </c>
      <c r="D23" s="6" t="s">
        <v>28</v>
      </c>
      <c r="E23" s="6" t="s">
        <v>28</v>
      </c>
      <c r="F23" s="9"/>
      <c r="G23" s="9">
        <f t="shared" si="1"/>
        <v>0</v>
      </c>
      <c r="H23" s="9">
        <f t="shared" si="2"/>
        <v>0</v>
      </c>
      <c r="I23" s="10"/>
      <c r="J23" s="8">
        <f t="shared" si="5"/>
        <v>0</v>
      </c>
      <c r="K23" s="11">
        <f t="shared" si="4"/>
        <v>0</v>
      </c>
      <c r="M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B24" s="20"/>
      <c r="C24" s="14" t="s">
        <v>28</v>
      </c>
      <c r="D24" s="14" t="s">
        <v>28</v>
      </c>
      <c r="E24" s="14" t="s">
        <v>28</v>
      </c>
      <c r="F24" s="16"/>
      <c r="G24" s="16">
        <f t="shared" si="1"/>
        <v>0</v>
      </c>
      <c r="H24" s="16">
        <f t="shared" si="2"/>
        <v>0</v>
      </c>
      <c r="I24" s="17"/>
      <c r="J24" s="15">
        <f t="shared" si="5"/>
        <v>0</v>
      </c>
      <c r="K24" s="18">
        <f t="shared" si="4"/>
        <v>0</v>
      </c>
    </row>
    <row r="25">
      <c r="B25" s="19"/>
      <c r="C25" s="6" t="s">
        <v>28</v>
      </c>
      <c r="D25" s="6" t="s">
        <v>28</v>
      </c>
      <c r="E25" s="6" t="s">
        <v>28</v>
      </c>
      <c r="F25" s="9"/>
      <c r="G25" s="9">
        <f t="shared" si="1"/>
        <v>0</v>
      </c>
      <c r="H25" s="9">
        <f t="shared" si="2"/>
        <v>0</v>
      </c>
      <c r="I25" s="10"/>
      <c r="J25" s="8">
        <f t="shared" si="5"/>
        <v>0</v>
      </c>
      <c r="K25" s="11">
        <f t="shared" si="4"/>
        <v>0</v>
      </c>
    </row>
    <row r="26">
      <c r="B26" s="20"/>
      <c r="C26" s="14" t="s">
        <v>28</v>
      </c>
      <c r="D26" s="14" t="s">
        <v>28</v>
      </c>
      <c r="E26" s="14" t="s">
        <v>28</v>
      </c>
      <c r="F26" s="16"/>
      <c r="G26" s="16">
        <f t="shared" si="1"/>
        <v>0</v>
      </c>
      <c r="H26" s="16">
        <f t="shared" si="2"/>
        <v>0</v>
      </c>
      <c r="I26" s="17"/>
      <c r="J26" s="15">
        <f t="shared" si="5"/>
        <v>0</v>
      </c>
      <c r="K26" s="18">
        <f t="shared" si="4"/>
        <v>0</v>
      </c>
    </row>
    <row r="27">
      <c r="B27" s="19"/>
      <c r="C27" s="6" t="s">
        <v>28</v>
      </c>
      <c r="D27" s="6" t="s">
        <v>28</v>
      </c>
      <c r="E27" s="6" t="s">
        <v>28</v>
      </c>
      <c r="F27" s="9"/>
      <c r="G27" s="9">
        <f t="shared" si="1"/>
        <v>0</v>
      </c>
      <c r="H27" s="9">
        <f t="shared" si="2"/>
        <v>0</v>
      </c>
      <c r="I27" s="10"/>
      <c r="J27" s="8">
        <f t="shared" si="5"/>
        <v>0</v>
      </c>
      <c r="K27" s="11">
        <f t="shared" si="4"/>
        <v>0</v>
      </c>
    </row>
    <row r="28">
      <c r="B28" s="20"/>
      <c r="C28" s="14" t="s">
        <v>28</v>
      </c>
      <c r="D28" s="14" t="s">
        <v>28</v>
      </c>
      <c r="E28" s="14" t="s">
        <v>28</v>
      </c>
      <c r="F28" s="16"/>
      <c r="G28" s="16">
        <f t="shared" si="1"/>
        <v>0</v>
      </c>
      <c r="H28" s="16">
        <f t="shared" si="2"/>
        <v>0</v>
      </c>
      <c r="I28" s="17"/>
      <c r="J28" s="15">
        <f t="shared" si="5"/>
        <v>0</v>
      </c>
      <c r="K28" s="18">
        <f t="shared" si="4"/>
        <v>0</v>
      </c>
    </row>
    <row r="29">
      <c r="A29" s="6" t="s">
        <v>31</v>
      </c>
      <c r="B29" s="19"/>
      <c r="C29" s="6" t="s">
        <v>14</v>
      </c>
      <c r="D29" s="6" t="s">
        <v>19</v>
      </c>
      <c r="E29" s="6" t="s">
        <v>17</v>
      </c>
      <c r="F29" s="8">
        <v>2.0</v>
      </c>
      <c r="G29" s="9">
        <f t="shared" si="1"/>
        <v>200</v>
      </c>
      <c r="H29" s="9">
        <f t="shared" si="2"/>
        <v>400</v>
      </c>
      <c r="I29" s="10"/>
      <c r="J29" s="8">
        <f t="shared" si="5"/>
        <v>537.5</v>
      </c>
      <c r="K29" s="11">
        <f t="shared" si="4"/>
        <v>537.5</v>
      </c>
      <c r="L29" s="11">
        <f>SUM(VLOOKUP(A29,$A$165:$C$178,2,False)*25%,VLOOKUP(A29,$A$165:$C$178,3,False)*25%)</f>
        <v>187.5</v>
      </c>
    </row>
    <row r="30">
      <c r="B30" s="20"/>
      <c r="C30" s="14" t="s">
        <v>28</v>
      </c>
      <c r="D30" s="14" t="s">
        <v>28</v>
      </c>
      <c r="E30" s="14" t="s">
        <v>28</v>
      </c>
      <c r="F30" s="16"/>
      <c r="G30" s="16">
        <f t="shared" si="1"/>
        <v>0</v>
      </c>
      <c r="H30" s="16">
        <f t="shared" si="2"/>
        <v>0</v>
      </c>
      <c r="I30" s="17"/>
      <c r="J30" s="15">
        <f t="shared" si="5"/>
        <v>0</v>
      </c>
      <c r="K30" s="18">
        <f t="shared" si="4"/>
        <v>0</v>
      </c>
    </row>
    <row r="31">
      <c r="B31" s="19"/>
      <c r="C31" s="6" t="s">
        <v>28</v>
      </c>
      <c r="D31" s="6" t="s">
        <v>28</v>
      </c>
      <c r="E31" s="6" t="s">
        <v>28</v>
      </c>
      <c r="F31" s="9"/>
      <c r="G31" s="9">
        <f t="shared" si="1"/>
        <v>0</v>
      </c>
      <c r="H31" s="9">
        <f t="shared" si="2"/>
        <v>0</v>
      </c>
      <c r="I31" s="10"/>
      <c r="J31" s="8">
        <f t="shared" si="5"/>
        <v>0</v>
      </c>
      <c r="K31" s="11">
        <f t="shared" si="4"/>
        <v>0</v>
      </c>
    </row>
    <row r="32">
      <c r="B32" s="20"/>
      <c r="C32" s="14" t="s">
        <v>28</v>
      </c>
      <c r="D32" s="14" t="s">
        <v>28</v>
      </c>
      <c r="E32" s="14" t="s">
        <v>28</v>
      </c>
      <c r="F32" s="16"/>
      <c r="G32" s="16">
        <f t="shared" si="1"/>
        <v>0</v>
      </c>
      <c r="H32" s="16">
        <f t="shared" si="2"/>
        <v>0</v>
      </c>
      <c r="I32" s="17"/>
      <c r="J32" s="15">
        <f t="shared" si="5"/>
        <v>0</v>
      </c>
      <c r="K32" s="18">
        <f t="shared" si="4"/>
        <v>0</v>
      </c>
    </row>
    <row r="33">
      <c r="B33" s="19"/>
      <c r="C33" s="6" t="s">
        <v>28</v>
      </c>
      <c r="D33" s="6" t="s">
        <v>28</v>
      </c>
      <c r="E33" s="6" t="s">
        <v>28</v>
      </c>
      <c r="F33" s="9"/>
      <c r="G33" s="9">
        <f t="shared" si="1"/>
        <v>0</v>
      </c>
      <c r="H33" s="9">
        <f t="shared" si="2"/>
        <v>0</v>
      </c>
      <c r="I33" s="10"/>
      <c r="J33" s="8">
        <f t="shared" si="5"/>
        <v>0</v>
      </c>
      <c r="K33" s="11">
        <f t="shared" si="4"/>
        <v>0</v>
      </c>
    </row>
    <row r="34">
      <c r="B34" s="20"/>
      <c r="C34" s="14" t="s">
        <v>28</v>
      </c>
      <c r="D34" s="14" t="s">
        <v>28</v>
      </c>
      <c r="E34" s="14" t="s">
        <v>28</v>
      </c>
      <c r="F34" s="16"/>
      <c r="G34" s="16">
        <f t="shared" si="1"/>
        <v>0</v>
      </c>
      <c r="H34" s="16">
        <f t="shared" si="2"/>
        <v>0</v>
      </c>
      <c r="I34" s="17"/>
      <c r="J34" s="15">
        <f t="shared" si="5"/>
        <v>0</v>
      </c>
      <c r="K34" s="18">
        <f t="shared" si="4"/>
        <v>0</v>
      </c>
    </row>
    <row r="35">
      <c r="B35" s="19"/>
      <c r="C35" s="6" t="s">
        <v>28</v>
      </c>
      <c r="D35" s="6" t="s">
        <v>28</v>
      </c>
      <c r="E35" s="6" t="s">
        <v>28</v>
      </c>
      <c r="F35" s="9"/>
      <c r="G35" s="9">
        <f t="shared" si="1"/>
        <v>0</v>
      </c>
      <c r="H35" s="9">
        <f t="shared" si="2"/>
        <v>0</v>
      </c>
      <c r="I35" s="10"/>
      <c r="J35" s="8">
        <f t="shared" si="5"/>
        <v>0</v>
      </c>
      <c r="K35" s="11">
        <f t="shared" si="4"/>
        <v>0</v>
      </c>
    </row>
    <row r="36">
      <c r="B36" s="20"/>
      <c r="C36" s="14" t="s">
        <v>28</v>
      </c>
      <c r="D36" s="14" t="s">
        <v>28</v>
      </c>
      <c r="E36" s="14" t="s">
        <v>28</v>
      </c>
      <c r="F36" s="16"/>
      <c r="G36" s="16">
        <f t="shared" si="1"/>
        <v>0</v>
      </c>
      <c r="H36" s="16">
        <f t="shared" si="2"/>
        <v>0</v>
      </c>
      <c r="I36" s="17"/>
      <c r="J36" s="15">
        <f t="shared" si="5"/>
        <v>0</v>
      </c>
      <c r="K36" s="18">
        <f t="shared" si="4"/>
        <v>0</v>
      </c>
    </row>
    <row r="37">
      <c r="B37" s="19"/>
      <c r="C37" s="6" t="s">
        <v>28</v>
      </c>
      <c r="D37" s="6" t="s">
        <v>28</v>
      </c>
      <c r="E37" s="6" t="s">
        <v>28</v>
      </c>
      <c r="F37" s="9"/>
      <c r="G37" s="9">
        <f t="shared" si="1"/>
        <v>0</v>
      </c>
      <c r="H37" s="9">
        <f t="shared" si="2"/>
        <v>0</v>
      </c>
      <c r="I37" s="10"/>
      <c r="J37" s="8">
        <f t="shared" si="5"/>
        <v>0</v>
      </c>
      <c r="K37" s="11">
        <f t="shared" si="4"/>
        <v>0</v>
      </c>
    </row>
    <row r="38">
      <c r="B38" s="20"/>
      <c r="C38" s="14" t="s">
        <v>28</v>
      </c>
      <c r="D38" s="14" t="s">
        <v>28</v>
      </c>
      <c r="E38" s="14" t="s">
        <v>28</v>
      </c>
      <c r="F38" s="16"/>
      <c r="G38" s="16">
        <f t="shared" si="1"/>
        <v>0</v>
      </c>
      <c r="H38" s="16">
        <f t="shared" si="2"/>
        <v>0</v>
      </c>
      <c r="I38" s="17"/>
      <c r="J38" s="15">
        <f t="shared" si="5"/>
        <v>0</v>
      </c>
      <c r="K38" s="18">
        <f t="shared" si="4"/>
        <v>0</v>
      </c>
    </row>
    <row r="39">
      <c r="B39" s="19"/>
      <c r="C39" s="6" t="s">
        <v>28</v>
      </c>
      <c r="D39" s="6" t="s">
        <v>28</v>
      </c>
      <c r="E39" s="6" t="s">
        <v>28</v>
      </c>
      <c r="F39" s="9"/>
      <c r="G39" s="9">
        <f t="shared" si="1"/>
        <v>0</v>
      </c>
      <c r="H39" s="9">
        <f t="shared" si="2"/>
        <v>0</v>
      </c>
      <c r="I39" s="10"/>
      <c r="J39" s="8">
        <f t="shared" si="5"/>
        <v>0</v>
      </c>
      <c r="K39" s="11">
        <f t="shared" si="4"/>
        <v>0</v>
      </c>
    </row>
    <row r="40">
      <c r="B40" s="20"/>
      <c r="C40" s="14" t="s">
        <v>28</v>
      </c>
      <c r="D40" s="14" t="s">
        <v>28</v>
      </c>
      <c r="E40" s="14" t="s">
        <v>28</v>
      </c>
      <c r="F40" s="16"/>
      <c r="G40" s="16">
        <f t="shared" si="1"/>
        <v>0</v>
      </c>
      <c r="H40" s="16">
        <f t="shared" si="2"/>
        <v>0</v>
      </c>
      <c r="I40" s="17"/>
      <c r="J40" s="15">
        <f t="shared" si="5"/>
        <v>0</v>
      </c>
      <c r="K40" s="18">
        <f t="shared" si="4"/>
        <v>0</v>
      </c>
    </row>
    <row r="41">
      <c r="A41" s="6" t="s">
        <v>13</v>
      </c>
      <c r="B41" s="19"/>
      <c r="C41" s="6" t="s">
        <v>28</v>
      </c>
      <c r="D41" s="6" t="s">
        <v>28</v>
      </c>
      <c r="E41" s="6" t="s">
        <v>28</v>
      </c>
      <c r="F41" s="9"/>
      <c r="G41" s="9">
        <f t="shared" si="1"/>
        <v>0</v>
      </c>
      <c r="H41" s="9">
        <f t="shared" si="2"/>
        <v>0</v>
      </c>
      <c r="I41" s="10"/>
      <c r="J41" s="8">
        <f t="shared" si="5"/>
        <v>0</v>
      </c>
      <c r="K41" s="11">
        <f t="shared" si="4"/>
        <v>0</v>
      </c>
      <c r="L41" s="11">
        <f>SUM(VLOOKUP(A41,$A$165:$C$178,2,False)*25%,VLOOKUP(A41,$A$165:$C$178,3,False)*25%)</f>
        <v>1875</v>
      </c>
    </row>
    <row r="42">
      <c r="B42" s="20"/>
      <c r="C42" s="14" t="s">
        <v>28</v>
      </c>
      <c r="D42" s="14" t="s">
        <v>28</v>
      </c>
      <c r="E42" s="14" t="s">
        <v>28</v>
      </c>
      <c r="F42" s="16"/>
      <c r="G42" s="16">
        <f t="shared" si="1"/>
        <v>0</v>
      </c>
      <c r="H42" s="16">
        <f t="shared" si="2"/>
        <v>0</v>
      </c>
      <c r="I42" s="17"/>
      <c r="J42" s="15">
        <f t="shared" si="5"/>
        <v>0</v>
      </c>
      <c r="K42" s="18">
        <f t="shared" si="4"/>
        <v>0</v>
      </c>
    </row>
    <row r="43">
      <c r="B43" s="19"/>
      <c r="C43" s="6" t="s">
        <v>28</v>
      </c>
      <c r="D43" s="6" t="s">
        <v>28</v>
      </c>
      <c r="E43" s="6" t="s">
        <v>28</v>
      </c>
      <c r="F43" s="9"/>
      <c r="G43" s="9">
        <f t="shared" si="1"/>
        <v>0</v>
      </c>
      <c r="H43" s="9">
        <f t="shared" si="2"/>
        <v>0</v>
      </c>
      <c r="I43" s="10"/>
      <c r="J43" s="8">
        <f t="shared" si="5"/>
        <v>0</v>
      </c>
      <c r="K43" s="11">
        <f t="shared" si="4"/>
        <v>0</v>
      </c>
    </row>
    <row r="44">
      <c r="B44" s="20"/>
      <c r="C44" s="14" t="s">
        <v>28</v>
      </c>
      <c r="D44" s="14" t="s">
        <v>28</v>
      </c>
      <c r="E44" s="14" t="s">
        <v>28</v>
      </c>
      <c r="F44" s="16"/>
      <c r="G44" s="16">
        <f t="shared" si="1"/>
        <v>0</v>
      </c>
      <c r="H44" s="16">
        <f t="shared" si="2"/>
        <v>0</v>
      </c>
      <c r="I44" s="17"/>
      <c r="J44" s="15">
        <f t="shared" si="5"/>
        <v>0</v>
      </c>
      <c r="K44" s="18">
        <f t="shared" si="4"/>
        <v>0</v>
      </c>
    </row>
    <row r="45">
      <c r="B45" s="19"/>
      <c r="C45" s="6" t="s">
        <v>16</v>
      </c>
      <c r="D45" s="6" t="s">
        <v>18</v>
      </c>
      <c r="E45" s="6" t="s">
        <v>17</v>
      </c>
      <c r="F45" s="8">
        <v>1.0</v>
      </c>
      <c r="G45" s="9">
        <f t="shared" si="1"/>
        <v>100</v>
      </c>
      <c r="H45" s="9">
        <f t="shared" si="2"/>
        <v>100</v>
      </c>
      <c r="I45" s="10"/>
      <c r="J45" s="8">
        <f t="shared" si="5"/>
        <v>126</v>
      </c>
      <c r="K45" s="11">
        <f t="shared" si="4"/>
        <v>126</v>
      </c>
    </row>
    <row r="46">
      <c r="B46" s="20"/>
      <c r="C46" s="14" t="s">
        <v>28</v>
      </c>
      <c r="D46" s="14" t="s">
        <v>28</v>
      </c>
      <c r="E46" s="14" t="s">
        <v>28</v>
      </c>
      <c r="F46" s="16"/>
      <c r="G46" s="16">
        <f t="shared" si="1"/>
        <v>0</v>
      </c>
      <c r="H46" s="16">
        <f t="shared" si="2"/>
        <v>0</v>
      </c>
      <c r="I46" s="17"/>
      <c r="J46" s="15">
        <f t="shared" si="5"/>
        <v>0</v>
      </c>
      <c r="K46" s="18">
        <f t="shared" si="4"/>
        <v>0</v>
      </c>
    </row>
    <row r="47">
      <c r="B47" s="19"/>
      <c r="C47" s="6" t="s">
        <v>28</v>
      </c>
      <c r="D47" s="6" t="s">
        <v>28</v>
      </c>
      <c r="E47" s="6" t="s">
        <v>28</v>
      </c>
      <c r="F47" s="9"/>
      <c r="G47" s="9">
        <f t="shared" si="1"/>
        <v>0</v>
      </c>
      <c r="H47" s="9">
        <f t="shared" si="2"/>
        <v>0</v>
      </c>
      <c r="I47" s="10"/>
      <c r="J47" s="8">
        <f t="shared" si="5"/>
        <v>0</v>
      </c>
      <c r="K47" s="11">
        <f t="shared" si="4"/>
        <v>0</v>
      </c>
    </row>
    <row r="48">
      <c r="B48" s="20"/>
      <c r="C48" s="14" t="s">
        <v>28</v>
      </c>
      <c r="D48" s="14" t="s">
        <v>28</v>
      </c>
      <c r="E48" s="14" t="s">
        <v>28</v>
      </c>
      <c r="F48" s="16"/>
      <c r="G48" s="16">
        <f t="shared" si="1"/>
        <v>0</v>
      </c>
      <c r="H48" s="16">
        <f t="shared" si="2"/>
        <v>0</v>
      </c>
      <c r="I48" s="17"/>
      <c r="J48" s="15">
        <f t="shared" si="5"/>
        <v>0</v>
      </c>
      <c r="K48" s="18">
        <f t="shared" si="4"/>
        <v>0</v>
      </c>
    </row>
    <row r="49">
      <c r="B49" s="19"/>
      <c r="C49" s="6" t="s">
        <v>28</v>
      </c>
      <c r="D49" s="6" t="s">
        <v>28</v>
      </c>
      <c r="E49" s="6" t="s">
        <v>28</v>
      </c>
      <c r="F49" s="9"/>
      <c r="G49" s="9">
        <f t="shared" si="1"/>
        <v>0</v>
      </c>
      <c r="H49" s="9">
        <f t="shared" si="2"/>
        <v>0</v>
      </c>
      <c r="I49" s="10"/>
      <c r="J49" s="8">
        <f t="shared" si="5"/>
        <v>0</v>
      </c>
      <c r="K49" s="11">
        <f t="shared" si="4"/>
        <v>0</v>
      </c>
    </row>
    <row r="50">
      <c r="B50" s="24"/>
      <c r="C50" s="14" t="s">
        <v>28</v>
      </c>
      <c r="D50" s="14" t="s">
        <v>28</v>
      </c>
      <c r="E50" s="14" t="s">
        <v>28</v>
      </c>
      <c r="F50" s="16"/>
      <c r="G50" s="16">
        <f t="shared" si="1"/>
        <v>0</v>
      </c>
      <c r="H50" s="16">
        <f t="shared" si="2"/>
        <v>0</v>
      </c>
      <c r="I50" s="17"/>
      <c r="J50" s="15">
        <f t="shared" si="5"/>
        <v>0</v>
      </c>
      <c r="K50" s="18">
        <f t="shared" si="4"/>
        <v>0</v>
      </c>
    </row>
    <row r="51">
      <c r="B51" s="25"/>
      <c r="C51" s="26" t="s">
        <v>28</v>
      </c>
      <c r="D51" s="26" t="s">
        <v>28</v>
      </c>
      <c r="E51" s="26" t="s">
        <v>28</v>
      </c>
      <c r="F51" s="27"/>
      <c r="G51" s="27">
        <f t="shared" si="1"/>
        <v>0</v>
      </c>
      <c r="H51" s="27">
        <f t="shared" si="2"/>
        <v>0</v>
      </c>
      <c r="I51" s="28"/>
      <c r="J51" s="29">
        <f t="shared" si="5"/>
        <v>0</v>
      </c>
      <c r="K51" s="30">
        <f t="shared" si="4"/>
        <v>0</v>
      </c>
    </row>
    <row r="52">
      <c r="B52" s="25"/>
      <c r="C52" s="26" t="s">
        <v>28</v>
      </c>
      <c r="D52" s="26" t="s">
        <v>28</v>
      </c>
      <c r="E52" s="26" t="s">
        <v>28</v>
      </c>
      <c r="F52" s="27"/>
      <c r="G52" s="27">
        <f t="shared" si="1"/>
        <v>0</v>
      </c>
      <c r="H52" s="27">
        <f t="shared" si="2"/>
        <v>0</v>
      </c>
      <c r="I52" s="28"/>
      <c r="J52" s="29">
        <f t="shared" si="5"/>
        <v>0</v>
      </c>
      <c r="K52" s="30">
        <f t="shared" si="4"/>
        <v>0</v>
      </c>
    </row>
    <row r="53">
      <c r="B53" s="25"/>
      <c r="C53" s="26" t="s">
        <v>28</v>
      </c>
      <c r="D53" s="26" t="s">
        <v>28</v>
      </c>
      <c r="E53" s="26" t="s">
        <v>28</v>
      </c>
      <c r="F53" s="27"/>
      <c r="G53" s="27">
        <f t="shared" si="1"/>
        <v>0</v>
      </c>
      <c r="H53" s="27">
        <f t="shared" si="2"/>
        <v>0</v>
      </c>
      <c r="I53" s="28"/>
      <c r="J53" s="29">
        <f t="shared" si="5"/>
        <v>0</v>
      </c>
      <c r="K53" s="30">
        <f t="shared" si="4"/>
        <v>0</v>
      </c>
    </row>
    <row r="54">
      <c r="A54" s="26" t="s">
        <v>31</v>
      </c>
      <c r="B54" s="25"/>
      <c r="C54" s="26" t="s">
        <v>28</v>
      </c>
      <c r="D54" s="26" t="s">
        <v>28</v>
      </c>
      <c r="E54" s="26" t="s">
        <v>28</v>
      </c>
      <c r="F54" s="27"/>
      <c r="G54" s="27">
        <f t="shared" si="1"/>
        <v>0</v>
      </c>
      <c r="H54" s="27">
        <f t="shared" si="2"/>
        <v>0</v>
      </c>
      <c r="I54" s="28"/>
      <c r="J54" s="29">
        <f t="shared" si="5"/>
        <v>0</v>
      </c>
      <c r="K54" s="30">
        <f t="shared" si="4"/>
        <v>0</v>
      </c>
      <c r="L54" s="31">
        <f>SUM(VLOOKUP(A54,$A$165:$C$178,2,False)*25%,VLOOKUP(A54,$A$165:$C$178,3,False)*25%)</f>
        <v>187.5</v>
      </c>
    </row>
    <row r="55">
      <c r="B55" s="25"/>
      <c r="C55" s="26" t="s">
        <v>28</v>
      </c>
      <c r="D55" s="26" t="s">
        <v>28</v>
      </c>
      <c r="E55" s="26" t="s">
        <v>28</v>
      </c>
      <c r="F55" s="27"/>
      <c r="G55" s="27">
        <f t="shared" si="1"/>
        <v>0</v>
      </c>
      <c r="H55" s="27">
        <f t="shared" si="2"/>
        <v>0</v>
      </c>
      <c r="I55" s="28"/>
      <c r="J55" s="29">
        <f t="shared" si="5"/>
        <v>0</v>
      </c>
      <c r="K55" s="30">
        <f t="shared" si="4"/>
        <v>0</v>
      </c>
    </row>
    <row r="56">
      <c r="B56" s="25"/>
      <c r="C56" s="26" t="s">
        <v>28</v>
      </c>
      <c r="D56" s="26" t="s">
        <v>28</v>
      </c>
      <c r="E56" s="26" t="s">
        <v>28</v>
      </c>
      <c r="F56" s="27"/>
      <c r="G56" s="27">
        <f t="shared" si="1"/>
        <v>0</v>
      </c>
      <c r="H56" s="27">
        <f t="shared" si="2"/>
        <v>0</v>
      </c>
      <c r="I56" s="28"/>
      <c r="J56" s="29">
        <f t="shared" si="5"/>
        <v>0</v>
      </c>
      <c r="K56" s="30">
        <f t="shared" si="4"/>
        <v>0</v>
      </c>
    </row>
    <row r="57">
      <c r="B57" s="25"/>
      <c r="C57" s="26" t="s">
        <v>28</v>
      </c>
      <c r="D57" s="26" t="s">
        <v>28</v>
      </c>
      <c r="E57" s="26" t="s">
        <v>28</v>
      </c>
      <c r="F57" s="27"/>
      <c r="G57" s="27">
        <f t="shared" si="1"/>
        <v>0</v>
      </c>
      <c r="H57" s="27">
        <f t="shared" si="2"/>
        <v>0</v>
      </c>
      <c r="I57" s="28"/>
      <c r="J57" s="29">
        <f t="shared" si="5"/>
        <v>0</v>
      </c>
      <c r="K57" s="30">
        <f t="shared" si="4"/>
        <v>0</v>
      </c>
    </row>
    <row r="58">
      <c r="B58" s="25"/>
      <c r="C58" s="26" t="s">
        <v>28</v>
      </c>
      <c r="D58" s="26" t="s">
        <v>28</v>
      </c>
      <c r="E58" s="26" t="s">
        <v>28</v>
      </c>
      <c r="F58" s="27"/>
      <c r="G58" s="27">
        <f t="shared" si="1"/>
        <v>0</v>
      </c>
      <c r="H58" s="27">
        <f t="shared" si="2"/>
        <v>0</v>
      </c>
      <c r="I58" s="28"/>
      <c r="J58" s="29">
        <f t="shared" si="5"/>
        <v>0</v>
      </c>
      <c r="K58" s="30">
        <f t="shared" si="4"/>
        <v>0</v>
      </c>
    </row>
    <row r="59">
      <c r="B59" s="25"/>
      <c r="C59" s="26" t="s">
        <v>28</v>
      </c>
      <c r="D59" s="26" t="s">
        <v>28</v>
      </c>
      <c r="E59" s="26" t="s">
        <v>17</v>
      </c>
      <c r="F59" s="27"/>
      <c r="G59" s="27">
        <f t="shared" si="1"/>
        <v>0</v>
      </c>
      <c r="H59" s="27">
        <f t="shared" si="2"/>
        <v>0</v>
      </c>
      <c r="I59" s="28"/>
      <c r="J59" s="29">
        <f t="shared" si="5"/>
        <v>0</v>
      </c>
      <c r="K59" s="30">
        <f t="shared" si="4"/>
        <v>0</v>
      </c>
    </row>
    <row r="60">
      <c r="B60" s="25"/>
      <c r="C60" s="26" t="s">
        <v>28</v>
      </c>
      <c r="D60" s="26" t="s">
        <v>28</v>
      </c>
      <c r="E60" s="26" t="s">
        <v>28</v>
      </c>
      <c r="F60" s="27"/>
      <c r="G60" s="27">
        <f t="shared" si="1"/>
        <v>0</v>
      </c>
      <c r="H60" s="27">
        <f t="shared" si="2"/>
        <v>0</v>
      </c>
      <c r="I60" s="28"/>
      <c r="J60" s="29">
        <f t="shared" si="5"/>
        <v>0</v>
      </c>
      <c r="K60" s="30">
        <f t="shared" si="4"/>
        <v>0</v>
      </c>
    </row>
    <row r="61">
      <c r="B61" s="25"/>
      <c r="C61" s="26" t="s">
        <v>28</v>
      </c>
      <c r="D61" s="26" t="s">
        <v>28</v>
      </c>
      <c r="E61" s="26" t="s">
        <v>28</v>
      </c>
      <c r="F61" s="27"/>
      <c r="G61" s="27">
        <f t="shared" si="1"/>
        <v>0</v>
      </c>
      <c r="H61" s="27">
        <f t="shared" si="2"/>
        <v>0</v>
      </c>
      <c r="I61" s="28"/>
      <c r="J61" s="29">
        <f t="shared" si="5"/>
        <v>0</v>
      </c>
      <c r="K61" s="30">
        <f t="shared" si="4"/>
        <v>0</v>
      </c>
    </row>
    <row r="62">
      <c r="B62" s="25"/>
      <c r="C62" s="26" t="s">
        <v>28</v>
      </c>
      <c r="D62" s="26" t="s">
        <v>28</v>
      </c>
      <c r="E62" s="26" t="s">
        <v>28</v>
      </c>
      <c r="F62" s="27"/>
      <c r="G62" s="27">
        <f t="shared" si="1"/>
        <v>0</v>
      </c>
      <c r="H62" s="27">
        <f t="shared" si="2"/>
        <v>0</v>
      </c>
      <c r="I62" s="28"/>
      <c r="J62" s="29">
        <f t="shared" si="5"/>
        <v>0</v>
      </c>
      <c r="K62" s="30">
        <f t="shared" si="4"/>
        <v>0</v>
      </c>
    </row>
    <row r="63">
      <c r="B63" s="25"/>
      <c r="C63" s="26" t="s">
        <v>28</v>
      </c>
      <c r="D63" s="26" t="s">
        <v>28</v>
      </c>
      <c r="E63" s="26" t="s">
        <v>28</v>
      </c>
      <c r="F63" s="27"/>
      <c r="G63" s="27">
        <f t="shared" si="1"/>
        <v>0</v>
      </c>
      <c r="H63" s="27">
        <f t="shared" si="2"/>
        <v>0</v>
      </c>
      <c r="I63" s="28"/>
      <c r="J63" s="29">
        <f t="shared" si="5"/>
        <v>0</v>
      </c>
      <c r="K63" s="30">
        <f t="shared" si="4"/>
        <v>0</v>
      </c>
    </row>
    <row r="64">
      <c r="B64" s="25"/>
      <c r="C64" s="26" t="s">
        <v>28</v>
      </c>
      <c r="D64" s="26" t="s">
        <v>28</v>
      </c>
      <c r="E64" s="26" t="s">
        <v>28</v>
      </c>
      <c r="F64" s="27"/>
      <c r="G64" s="27">
        <f t="shared" si="1"/>
        <v>0</v>
      </c>
      <c r="H64" s="27">
        <f t="shared" si="2"/>
        <v>0</v>
      </c>
      <c r="I64" s="28"/>
      <c r="J64" s="29">
        <f t="shared" si="5"/>
        <v>0</v>
      </c>
      <c r="K64" s="30">
        <f t="shared" si="4"/>
        <v>0</v>
      </c>
    </row>
    <row r="65">
      <c r="B65" s="25"/>
      <c r="C65" s="26" t="s">
        <v>28</v>
      </c>
      <c r="D65" s="26" t="s">
        <v>28</v>
      </c>
      <c r="E65" s="26" t="s">
        <v>28</v>
      </c>
      <c r="F65" s="27"/>
      <c r="G65" s="27">
        <f t="shared" si="1"/>
        <v>0</v>
      </c>
      <c r="H65" s="27">
        <f t="shared" si="2"/>
        <v>0</v>
      </c>
      <c r="I65" s="28"/>
      <c r="J65" s="29">
        <f t="shared" si="5"/>
        <v>0</v>
      </c>
      <c r="K65" s="30">
        <f t="shared" si="4"/>
        <v>0</v>
      </c>
    </row>
    <row r="66">
      <c r="A66" s="26" t="s">
        <v>28</v>
      </c>
      <c r="B66" s="25"/>
      <c r="C66" s="26" t="s">
        <v>28</v>
      </c>
      <c r="D66" s="26" t="s">
        <v>28</v>
      </c>
      <c r="E66" s="26" t="s">
        <v>28</v>
      </c>
      <c r="F66" s="27"/>
      <c r="G66" s="27">
        <f t="shared" si="1"/>
        <v>0</v>
      </c>
      <c r="H66" s="27">
        <f t="shared" si="2"/>
        <v>0</v>
      </c>
      <c r="I66" s="28"/>
      <c r="J66" s="29">
        <f t="shared" si="5"/>
        <v>0</v>
      </c>
      <c r="K66" s="30">
        <f t="shared" si="4"/>
        <v>0</v>
      </c>
      <c r="L66" s="31" t="str">
        <f>SUM(VLOOKUP(A66,$A$165:$C$178,2,False)*25%,VLOOKUP(A66,$A$165:$C$178,3,False)*25%)</f>
        <v>#N/A</v>
      </c>
    </row>
    <row r="67">
      <c r="B67" s="25"/>
      <c r="C67" s="26" t="s">
        <v>28</v>
      </c>
      <c r="D67" s="26" t="s">
        <v>28</v>
      </c>
      <c r="E67" s="26" t="s">
        <v>28</v>
      </c>
      <c r="F67" s="27"/>
      <c r="G67" s="27">
        <f t="shared" si="1"/>
        <v>0</v>
      </c>
      <c r="H67" s="27">
        <f t="shared" si="2"/>
        <v>0</v>
      </c>
      <c r="I67" s="28"/>
      <c r="J67" s="29">
        <f t="shared" si="5"/>
        <v>0</v>
      </c>
      <c r="K67" s="30">
        <f t="shared" si="4"/>
        <v>0</v>
      </c>
    </row>
    <row r="68">
      <c r="B68" s="25"/>
      <c r="C68" s="26" t="s">
        <v>28</v>
      </c>
      <c r="D68" s="26" t="s">
        <v>28</v>
      </c>
      <c r="E68" s="26" t="s">
        <v>28</v>
      </c>
      <c r="F68" s="27"/>
      <c r="G68" s="27">
        <f t="shared" si="1"/>
        <v>0</v>
      </c>
      <c r="H68" s="27">
        <f t="shared" si="2"/>
        <v>0</v>
      </c>
      <c r="I68" s="28"/>
      <c r="J68" s="29">
        <f t="shared" si="5"/>
        <v>0</v>
      </c>
      <c r="K68" s="30">
        <f t="shared" si="4"/>
        <v>0</v>
      </c>
    </row>
    <row r="69">
      <c r="B69" s="25"/>
      <c r="C69" s="26" t="s">
        <v>28</v>
      </c>
      <c r="D69" s="26" t="s">
        <v>28</v>
      </c>
      <c r="E69" s="26" t="s">
        <v>28</v>
      </c>
      <c r="F69" s="27"/>
      <c r="G69" s="27">
        <f t="shared" si="1"/>
        <v>0</v>
      </c>
      <c r="H69" s="27">
        <f t="shared" si="2"/>
        <v>0</v>
      </c>
      <c r="I69" s="28"/>
      <c r="J69" s="29">
        <f t="shared" si="5"/>
        <v>0</v>
      </c>
      <c r="K69" s="30">
        <f t="shared" si="4"/>
        <v>0</v>
      </c>
    </row>
    <row r="70">
      <c r="B70" s="25"/>
      <c r="C70" s="26" t="s">
        <v>28</v>
      </c>
      <c r="D70" s="26" t="s">
        <v>28</v>
      </c>
      <c r="E70" s="26" t="s">
        <v>28</v>
      </c>
      <c r="F70" s="27"/>
      <c r="G70" s="27">
        <f t="shared" si="1"/>
        <v>0</v>
      </c>
      <c r="H70" s="27">
        <f t="shared" si="2"/>
        <v>0</v>
      </c>
      <c r="I70" s="28"/>
      <c r="J70" s="29">
        <f t="shared" si="5"/>
        <v>0</v>
      </c>
      <c r="K70" s="30">
        <f t="shared" si="4"/>
        <v>0</v>
      </c>
    </row>
    <row r="71">
      <c r="B71" s="25"/>
      <c r="C71" s="26" t="s">
        <v>28</v>
      </c>
      <c r="D71" s="26" t="s">
        <v>28</v>
      </c>
      <c r="E71" s="26" t="s">
        <v>28</v>
      </c>
      <c r="F71" s="27"/>
      <c r="G71" s="27">
        <f t="shared" si="1"/>
        <v>0</v>
      </c>
      <c r="H71" s="27">
        <f t="shared" si="2"/>
        <v>0</v>
      </c>
      <c r="I71" s="28"/>
      <c r="J71" s="29">
        <f t="shared" si="5"/>
        <v>0</v>
      </c>
      <c r="K71" s="30">
        <f t="shared" si="4"/>
        <v>0</v>
      </c>
    </row>
    <row r="72">
      <c r="B72" s="25"/>
      <c r="C72" s="26" t="s">
        <v>28</v>
      </c>
      <c r="D72" s="26" t="s">
        <v>28</v>
      </c>
      <c r="E72" s="26" t="s">
        <v>28</v>
      </c>
      <c r="F72" s="27"/>
      <c r="G72" s="27">
        <f t="shared" si="1"/>
        <v>0</v>
      </c>
      <c r="H72" s="27">
        <f t="shared" si="2"/>
        <v>0</v>
      </c>
      <c r="I72" s="28"/>
      <c r="J72" s="29">
        <f t="shared" si="5"/>
        <v>0</v>
      </c>
      <c r="K72" s="30">
        <f t="shared" si="4"/>
        <v>0</v>
      </c>
    </row>
    <row r="73">
      <c r="B73" s="25"/>
      <c r="C73" s="26" t="s">
        <v>28</v>
      </c>
      <c r="D73" s="26" t="s">
        <v>28</v>
      </c>
      <c r="E73" s="26" t="s">
        <v>28</v>
      </c>
      <c r="F73" s="27"/>
      <c r="G73" s="27">
        <f t="shared" si="1"/>
        <v>0</v>
      </c>
      <c r="H73" s="27">
        <f t="shared" si="2"/>
        <v>0</v>
      </c>
      <c r="I73" s="28"/>
      <c r="J73" s="29">
        <f t="shared" si="5"/>
        <v>0</v>
      </c>
      <c r="K73" s="30">
        <f t="shared" si="4"/>
        <v>0</v>
      </c>
    </row>
    <row r="74">
      <c r="B74" s="25"/>
      <c r="C74" s="26" t="s">
        <v>28</v>
      </c>
      <c r="D74" s="26" t="s">
        <v>28</v>
      </c>
      <c r="E74" s="26" t="s">
        <v>28</v>
      </c>
      <c r="F74" s="27"/>
      <c r="G74" s="27">
        <f t="shared" si="1"/>
        <v>0</v>
      </c>
      <c r="H74" s="27">
        <f t="shared" si="2"/>
        <v>0</v>
      </c>
      <c r="I74" s="28"/>
      <c r="J74" s="29">
        <f t="shared" si="5"/>
        <v>0</v>
      </c>
      <c r="K74" s="30">
        <f t="shared" si="4"/>
        <v>0</v>
      </c>
    </row>
    <row r="75" ht="24.75" customHeight="1">
      <c r="B75" s="25"/>
      <c r="C75" s="26" t="s">
        <v>28</v>
      </c>
      <c r="D75" s="26" t="s">
        <v>28</v>
      </c>
      <c r="E75" s="26" t="s">
        <v>28</v>
      </c>
      <c r="F75" s="27"/>
      <c r="G75" s="27">
        <f t="shared" si="1"/>
        <v>0</v>
      </c>
      <c r="H75" s="27">
        <f t="shared" si="2"/>
        <v>0</v>
      </c>
      <c r="I75" s="28"/>
      <c r="J75" s="29">
        <f t="shared" si="5"/>
        <v>0</v>
      </c>
      <c r="K75" s="30">
        <f t="shared" si="4"/>
        <v>0</v>
      </c>
    </row>
    <row r="76">
      <c r="B76" s="25"/>
      <c r="C76" s="26" t="s">
        <v>28</v>
      </c>
      <c r="D76" s="26" t="s">
        <v>28</v>
      </c>
      <c r="E76" s="26" t="s">
        <v>28</v>
      </c>
      <c r="F76" s="27"/>
      <c r="G76" s="27">
        <f t="shared" si="1"/>
        <v>0</v>
      </c>
      <c r="H76" s="27">
        <f t="shared" si="2"/>
        <v>0</v>
      </c>
      <c r="I76" s="28"/>
      <c r="J76" s="29">
        <f t="shared" si="5"/>
        <v>0</v>
      </c>
      <c r="K76" s="30">
        <f t="shared" si="4"/>
        <v>0</v>
      </c>
    </row>
    <row r="77">
      <c r="B77" s="25"/>
      <c r="C77" s="26" t="s">
        <v>28</v>
      </c>
      <c r="D77" s="26" t="s">
        <v>28</v>
      </c>
      <c r="E77" s="26" t="s">
        <v>28</v>
      </c>
      <c r="F77" s="27"/>
      <c r="G77" s="27">
        <f t="shared" si="1"/>
        <v>0</v>
      </c>
      <c r="H77" s="27">
        <f t="shared" si="2"/>
        <v>0</v>
      </c>
      <c r="I77" s="28"/>
      <c r="J77" s="29">
        <f t="shared" si="5"/>
        <v>0</v>
      </c>
      <c r="K77" s="30">
        <f t="shared" si="4"/>
        <v>0</v>
      </c>
    </row>
    <row r="78">
      <c r="B78" s="25"/>
      <c r="C78" s="26" t="s">
        <v>28</v>
      </c>
      <c r="D78" s="26" t="s">
        <v>28</v>
      </c>
      <c r="E78" s="26" t="s">
        <v>28</v>
      </c>
      <c r="F78" s="27"/>
      <c r="G78" s="27">
        <f t="shared" si="1"/>
        <v>0</v>
      </c>
      <c r="H78" s="27">
        <f t="shared" si="2"/>
        <v>0</v>
      </c>
      <c r="I78" s="28"/>
      <c r="J78" s="29">
        <f t="shared" si="5"/>
        <v>0</v>
      </c>
      <c r="K78" s="30">
        <f t="shared" si="4"/>
        <v>0</v>
      </c>
    </row>
    <row r="79">
      <c r="A79" s="26" t="s">
        <v>28</v>
      </c>
      <c r="B79" s="25"/>
      <c r="C79" s="26" t="s">
        <v>28</v>
      </c>
      <c r="D79" s="26" t="s">
        <v>28</v>
      </c>
      <c r="E79" s="26" t="s">
        <v>28</v>
      </c>
      <c r="F79" s="27"/>
      <c r="G79" s="27">
        <f t="shared" si="1"/>
        <v>0</v>
      </c>
      <c r="H79" s="27">
        <f t="shared" si="2"/>
        <v>0</v>
      </c>
      <c r="I79" s="28"/>
      <c r="J79" s="29">
        <f t="shared" si="5"/>
        <v>0</v>
      </c>
      <c r="K79" s="30">
        <f t="shared" si="4"/>
        <v>0</v>
      </c>
      <c r="L79" s="31" t="str">
        <f>SUM(VLOOKUP(A79,$A$165:$C$178,2,False)*25%,VLOOKUP(A79,$A$165:$C$178,3,False)*25%)</f>
        <v>#N/A</v>
      </c>
    </row>
    <row r="80">
      <c r="B80" s="25"/>
      <c r="C80" s="26" t="s">
        <v>28</v>
      </c>
      <c r="D80" s="26" t="s">
        <v>28</v>
      </c>
      <c r="E80" s="26" t="s">
        <v>28</v>
      </c>
      <c r="F80" s="27"/>
      <c r="G80" s="27">
        <f t="shared" si="1"/>
        <v>0</v>
      </c>
      <c r="H80" s="27">
        <f t="shared" si="2"/>
        <v>0</v>
      </c>
      <c r="I80" s="28"/>
      <c r="J80" s="29">
        <f t="shared" si="5"/>
        <v>0</v>
      </c>
      <c r="K80" s="30">
        <f t="shared" si="4"/>
        <v>0</v>
      </c>
    </row>
    <row r="81">
      <c r="B81" s="25"/>
      <c r="C81" s="26" t="s">
        <v>28</v>
      </c>
      <c r="D81" s="26" t="s">
        <v>28</v>
      </c>
      <c r="E81" s="26" t="s">
        <v>28</v>
      </c>
      <c r="F81" s="27"/>
      <c r="G81" s="27">
        <f t="shared" si="1"/>
        <v>0</v>
      </c>
      <c r="H81" s="27">
        <f t="shared" si="2"/>
        <v>0</v>
      </c>
      <c r="I81" s="28"/>
      <c r="J81" s="29">
        <f t="shared" si="5"/>
        <v>0</v>
      </c>
      <c r="K81" s="30">
        <f t="shared" si="4"/>
        <v>0</v>
      </c>
    </row>
    <row r="82">
      <c r="B82" s="25"/>
      <c r="C82" s="26" t="s">
        <v>28</v>
      </c>
      <c r="D82" s="26" t="s">
        <v>28</v>
      </c>
      <c r="E82" s="26" t="s">
        <v>28</v>
      </c>
      <c r="F82" s="27"/>
      <c r="G82" s="27">
        <f t="shared" si="1"/>
        <v>0</v>
      </c>
      <c r="H82" s="27">
        <f t="shared" si="2"/>
        <v>0</v>
      </c>
      <c r="I82" s="28"/>
      <c r="J82" s="29">
        <f t="shared" si="5"/>
        <v>0</v>
      </c>
      <c r="K82" s="30">
        <f t="shared" si="4"/>
        <v>0</v>
      </c>
    </row>
    <row r="83">
      <c r="B83" s="25"/>
      <c r="C83" s="26" t="s">
        <v>28</v>
      </c>
      <c r="D83" s="26" t="s">
        <v>28</v>
      </c>
      <c r="E83" s="26" t="s">
        <v>28</v>
      </c>
      <c r="F83" s="27"/>
      <c r="G83" s="27">
        <f t="shared" si="1"/>
        <v>0</v>
      </c>
      <c r="H83" s="27">
        <f t="shared" si="2"/>
        <v>0</v>
      </c>
      <c r="I83" s="28"/>
      <c r="J83" s="29">
        <f t="shared" si="5"/>
        <v>0</v>
      </c>
      <c r="K83" s="30">
        <f t="shared" si="4"/>
        <v>0</v>
      </c>
    </row>
    <row r="84">
      <c r="B84" s="25"/>
      <c r="C84" s="26" t="s">
        <v>28</v>
      </c>
      <c r="D84" s="26" t="s">
        <v>28</v>
      </c>
      <c r="E84" s="26" t="s">
        <v>28</v>
      </c>
      <c r="F84" s="27"/>
      <c r="G84" s="27">
        <f t="shared" si="1"/>
        <v>0</v>
      </c>
      <c r="H84" s="27">
        <f t="shared" si="2"/>
        <v>0</v>
      </c>
      <c r="I84" s="28"/>
      <c r="J84" s="29">
        <f t="shared" si="5"/>
        <v>0</v>
      </c>
      <c r="K84" s="30">
        <f t="shared" si="4"/>
        <v>0</v>
      </c>
    </row>
    <row r="85">
      <c r="B85" s="25"/>
      <c r="C85" s="26" t="s">
        <v>28</v>
      </c>
      <c r="D85" s="26" t="s">
        <v>28</v>
      </c>
      <c r="E85" s="26" t="s">
        <v>17</v>
      </c>
      <c r="F85" s="27"/>
      <c r="G85" s="27">
        <f t="shared" si="1"/>
        <v>0</v>
      </c>
      <c r="H85" s="27">
        <f t="shared" si="2"/>
        <v>0</v>
      </c>
      <c r="I85" s="28"/>
      <c r="J85" s="29">
        <f t="shared" si="5"/>
        <v>0</v>
      </c>
      <c r="K85" s="30">
        <f t="shared" si="4"/>
        <v>0</v>
      </c>
    </row>
    <row r="86">
      <c r="B86" s="25"/>
      <c r="C86" s="26" t="s">
        <v>28</v>
      </c>
      <c r="D86" s="26" t="s">
        <v>28</v>
      </c>
      <c r="E86" s="26" t="s">
        <v>28</v>
      </c>
      <c r="F86" s="27"/>
      <c r="G86" s="27">
        <f t="shared" si="1"/>
        <v>0</v>
      </c>
      <c r="H86" s="27">
        <f t="shared" si="2"/>
        <v>0</v>
      </c>
      <c r="I86" s="28"/>
      <c r="J86" s="29">
        <f t="shared" si="5"/>
        <v>0</v>
      </c>
      <c r="K86" s="30">
        <f t="shared" si="4"/>
        <v>0</v>
      </c>
    </row>
    <row r="87">
      <c r="B87" s="25"/>
      <c r="C87" s="26" t="s">
        <v>28</v>
      </c>
      <c r="D87" s="26" t="s">
        <v>28</v>
      </c>
      <c r="E87" s="26" t="s">
        <v>28</v>
      </c>
      <c r="F87" s="27"/>
      <c r="G87" s="27">
        <f t="shared" si="1"/>
        <v>0</v>
      </c>
      <c r="H87" s="27">
        <f t="shared" si="2"/>
        <v>0</v>
      </c>
      <c r="I87" s="28"/>
      <c r="J87" s="29">
        <f t="shared" si="5"/>
        <v>0</v>
      </c>
      <c r="K87" s="30">
        <f t="shared" si="4"/>
        <v>0</v>
      </c>
    </row>
    <row r="88">
      <c r="B88" s="25"/>
      <c r="C88" s="26" t="s">
        <v>28</v>
      </c>
      <c r="D88" s="26" t="s">
        <v>28</v>
      </c>
      <c r="E88" s="26" t="s">
        <v>28</v>
      </c>
      <c r="F88" s="27"/>
      <c r="G88" s="27">
        <f t="shared" si="1"/>
        <v>0</v>
      </c>
      <c r="H88" s="27">
        <f t="shared" si="2"/>
        <v>0</v>
      </c>
      <c r="I88" s="28"/>
      <c r="J88" s="29">
        <f t="shared" si="5"/>
        <v>0</v>
      </c>
      <c r="K88" s="30">
        <f t="shared" si="4"/>
        <v>0</v>
      </c>
    </row>
    <row r="89">
      <c r="B89" s="25"/>
      <c r="C89" s="26" t="s">
        <v>28</v>
      </c>
      <c r="D89" s="26" t="s">
        <v>28</v>
      </c>
      <c r="E89" s="26" t="s">
        <v>28</v>
      </c>
      <c r="F89" s="27"/>
      <c r="G89" s="27">
        <f t="shared" si="1"/>
        <v>0</v>
      </c>
      <c r="H89" s="27">
        <f t="shared" si="2"/>
        <v>0</v>
      </c>
      <c r="I89" s="28"/>
      <c r="J89" s="29">
        <f t="shared" si="5"/>
        <v>0</v>
      </c>
      <c r="K89" s="30">
        <f t="shared" si="4"/>
        <v>0</v>
      </c>
    </row>
    <row r="90">
      <c r="B90" s="25"/>
      <c r="C90" s="26" t="s">
        <v>28</v>
      </c>
      <c r="D90" s="26" t="s">
        <v>28</v>
      </c>
      <c r="E90" s="26" t="s">
        <v>28</v>
      </c>
      <c r="F90" s="27"/>
      <c r="G90" s="27">
        <f t="shared" si="1"/>
        <v>0</v>
      </c>
      <c r="H90" s="27">
        <f t="shared" si="2"/>
        <v>0</v>
      </c>
      <c r="I90" s="28"/>
      <c r="J90" s="29">
        <f t="shared" si="5"/>
        <v>0</v>
      </c>
      <c r="K90" s="30">
        <f t="shared" si="4"/>
        <v>0</v>
      </c>
    </row>
    <row r="91">
      <c r="B91" s="25"/>
      <c r="C91" s="26" t="s">
        <v>28</v>
      </c>
      <c r="D91" s="26" t="s">
        <v>28</v>
      </c>
      <c r="E91" s="26" t="s">
        <v>28</v>
      </c>
      <c r="F91" s="27"/>
      <c r="G91" s="27">
        <f t="shared" si="1"/>
        <v>0</v>
      </c>
      <c r="H91" s="27">
        <f t="shared" si="2"/>
        <v>0</v>
      </c>
      <c r="I91" s="28"/>
      <c r="J91" s="29">
        <f t="shared" si="5"/>
        <v>0</v>
      </c>
      <c r="K91" s="30">
        <f t="shared" si="4"/>
        <v>0</v>
      </c>
    </row>
    <row r="92">
      <c r="A92" s="26" t="s">
        <v>13</v>
      </c>
      <c r="B92" s="32">
        <v>45462.0</v>
      </c>
      <c r="C92" s="26" t="s">
        <v>16</v>
      </c>
      <c r="D92" s="26" t="s">
        <v>19</v>
      </c>
      <c r="E92" s="26" t="s">
        <v>19</v>
      </c>
      <c r="F92" s="29">
        <v>2.0</v>
      </c>
      <c r="G92" s="27">
        <f t="shared" si="1"/>
        <v>140</v>
      </c>
      <c r="H92" s="27">
        <f t="shared" si="2"/>
        <v>280</v>
      </c>
      <c r="I92" s="28"/>
      <c r="J92" s="29">
        <f t="shared" si="5"/>
        <v>172</v>
      </c>
      <c r="K92" s="30">
        <f t="shared" si="4"/>
        <v>452</v>
      </c>
      <c r="L92" s="31">
        <f>SUM(VLOOKUP(A92,$A$165:$C$178,2,False)*25%,VLOOKUP(A92,$A$165:$C$178,3,False)*25%)</f>
        <v>1875</v>
      </c>
    </row>
    <row r="93">
      <c r="B93" s="25"/>
      <c r="C93" s="26" t="s">
        <v>28</v>
      </c>
      <c r="D93" s="26" t="s">
        <v>28</v>
      </c>
      <c r="E93" s="26" t="s">
        <v>28</v>
      </c>
      <c r="F93" s="27"/>
      <c r="G93" s="27">
        <f t="shared" si="1"/>
        <v>0</v>
      </c>
      <c r="H93" s="27">
        <f t="shared" si="2"/>
        <v>0</v>
      </c>
      <c r="I93" s="28"/>
      <c r="J93" s="29">
        <f t="shared" si="5"/>
        <v>0</v>
      </c>
      <c r="K93" s="30">
        <f t="shared" si="4"/>
        <v>0</v>
      </c>
    </row>
    <row r="94">
      <c r="B94" s="25"/>
      <c r="C94" s="26" t="s">
        <v>28</v>
      </c>
      <c r="D94" s="26" t="s">
        <v>28</v>
      </c>
      <c r="E94" s="26" t="s">
        <v>28</v>
      </c>
      <c r="F94" s="27"/>
      <c r="G94" s="27">
        <f t="shared" si="1"/>
        <v>0</v>
      </c>
      <c r="H94" s="27">
        <f t="shared" si="2"/>
        <v>0</v>
      </c>
      <c r="I94" s="28"/>
      <c r="J94" s="29">
        <f t="shared" si="5"/>
        <v>0</v>
      </c>
      <c r="K94" s="30">
        <f t="shared" si="4"/>
        <v>0</v>
      </c>
    </row>
    <row r="95">
      <c r="B95" s="32">
        <v>45468.0</v>
      </c>
      <c r="C95" s="26" t="s">
        <v>14</v>
      </c>
      <c r="D95" s="26" t="s">
        <v>19</v>
      </c>
      <c r="E95" s="26" t="s">
        <v>24</v>
      </c>
      <c r="F95" s="29">
        <v>4.0</v>
      </c>
      <c r="G95" s="27">
        <f t="shared" si="1"/>
        <v>35</v>
      </c>
      <c r="H95" s="27">
        <f t="shared" si="2"/>
        <v>140</v>
      </c>
      <c r="I95" s="28">
        <v>45968.0</v>
      </c>
      <c r="J95" s="29">
        <f t="shared" si="5"/>
        <v>1735</v>
      </c>
      <c r="K95" s="30">
        <f t="shared" si="4"/>
        <v>1735</v>
      </c>
    </row>
    <row r="96">
      <c r="B96" s="25"/>
      <c r="C96" s="26" t="s">
        <v>28</v>
      </c>
      <c r="D96" s="26" t="s">
        <v>28</v>
      </c>
      <c r="E96" s="26" t="s">
        <v>28</v>
      </c>
      <c r="F96" s="27"/>
      <c r="G96" s="27">
        <f t="shared" si="1"/>
        <v>0</v>
      </c>
      <c r="H96" s="27">
        <f t="shared" si="2"/>
        <v>0</v>
      </c>
      <c r="I96" s="28"/>
      <c r="J96" s="29">
        <f t="shared" si="5"/>
        <v>0</v>
      </c>
      <c r="K96" s="30">
        <f t="shared" si="4"/>
        <v>0</v>
      </c>
    </row>
    <row r="97">
      <c r="B97" s="25"/>
      <c r="C97" s="26" t="s">
        <v>28</v>
      </c>
      <c r="D97" s="26" t="s">
        <v>28</v>
      </c>
      <c r="E97" s="26" t="s">
        <v>28</v>
      </c>
      <c r="F97" s="27"/>
      <c r="G97" s="27">
        <f t="shared" si="1"/>
        <v>0</v>
      </c>
      <c r="H97" s="27">
        <f t="shared" si="2"/>
        <v>0</v>
      </c>
      <c r="I97" s="28"/>
      <c r="J97" s="29">
        <f t="shared" si="5"/>
        <v>0</v>
      </c>
      <c r="K97" s="30">
        <f t="shared" si="4"/>
        <v>0</v>
      </c>
    </row>
    <row r="98">
      <c r="B98" s="25"/>
      <c r="C98" s="26" t="s">
        <v>28</v>
      </c>
      <c r="D98" s="26" t="s">
        <v>28</v>
      </c>
      <c r="E98" s="26" t="s">
        <v>28</v>
      </c>
      <c r="F98" s="27"/>
      <c r="G98" s="27">
        <f t="shared" si="1"/>
        <v>0</v>
      </c>
      <c r="H98" s="27">
        <f t="shared" si="2"/>
        <v>0</v>
      </c>
      <c r="I98" s="28"/>
      <c r="J98" s="29">
        <f t="shared" si="5"/>
        <v>0</v>
      </c>
      <c r="K98" s="30">
        <f t="shared" si="4"/>
        <v>0</v>
      </c>
    </row>
    <row r="99">
      <c r="B99" s="25"/>
      <c r="C99" s="26" t="s">
        <v>28</v>
      </c>
      <c r="D99" s="26" t="s">
        <v>28</v>
      </c>
      <c r="E99" s="26" t="s">
        <v>28</v>
      </c>
      <c r="F99" s="27"/>
      <c r="G99" s="27">
        <f t="shared" si="1"/>
        <v>0</v>
      </c>
      <c r="H99" s="27">
        <f t="shared" si="2"/>
        <v>0</v>
      </c>
      <c r="I99" s="28"/>
      <c r="J99" s="29">
        <f t="shared" si="5"/>
        <v>0</v>
      </c>
      <c r="K99" s="30">
        <f t="shared" si="4"/>
        <v>0</v>
      </c>
    </row>
    <row r="100">
      <c r="B100" s="25"/>
      <c r="C100" s="26" t="s">
        <v>28</v>
      </c>
      <c r="D100" s="26" t="s">
        <v>28</v>
      </c>
      <c r="E100" s="26" t="s">
        <v>28</v>
      </c>
      <c r="F100" s="27"/>
      <c r="G100" s="27">
        <f t="shared" si="1"/>
        <v>0</v>
      </c>
      <c r="H100" s="27">
        <f t="shared" si="2"/>
        <v>0</v>
      </c>
      <c r="I100" s="28"/>
      <c r="J100" s="29">
        <f t="shared" si="5"/>
        <v>0</v>
      </c>
      <c r="K100" s="30">
        <f t="shared" si="4"/>
        <v>0</v>
      </c>
    </row>
    <row r="101">
      <c r="B101" s="25"/>
      <c r="C101" s="26" t="s">
        <v>28</v>
      </c>
      <c r="D101" s="26" t="s">
        <v>28</v>
      </c>
      <c r="E101" s="26" t="s">
        <v>28</v>
      </c>
      <c r="F101" s="27"/>
      <c r="G101" s="27">
        <f t="shared" si="1"/>
        <v>0</v>
      </c>
      <c r="H101" s="27">
        <f t="shared" si="2"/>
        <v>0</v>
      </c>
      <c r="I101" s="28"/>
      <c r="J101" s="29">
        <f t="shared" si="5"/>
        <v>0</v>
      </c>
      <c r="K101" s="30">
        <f t="shared" si="4"/>
        <v>0</v>
      </c>
    </row>
    <row r="102">
      <c r="B102" s="25"/>
      <c r="C102" s="26" t="s">
        <v>28</v>
      </c>
      <c r="D102" s="26" t="s">
        <v>28</v>
      </c>
      <c r="E102" s="26" t="s">
        <v>28</v>
      </c>
      <c r="F102" s="27"/>
      <c r="G102" s="27">
        <f t="shared" si="1"/>
        <v>0</v>
      </c>
      <c r="H102" s="27">
        <f t="shared" si="2"/>
        <v>0</v>
      </c>
      <c r="I102" s="28"/>
      <c r="J102" s="29">
        <f t="shared" si="5"/>
        <v>0</v>
      </c>
      <c r="K102" s="30">
        <f t="shared" si="4"/>
        <v>0</v>
      </c>
    </row>
    <row r="103">
      <c r="B103" s="25"/>
      <c r="C103" s="26" t="s">
        <v>28</v>
      </c>
      <c r="D103" s="26" t="s">
        <v>28</v>
      </c>
      <c r="E103" s="26" t="s">
        <v>28</v>
      </c>
      <c r="F103" s="27"/>
      <c r="G103" s="27">
        <f t="shared" si="1"/>
        <v>0</v>
      </c>
      <c r="H103" s="27">
        <f t="shared" si="2"/>
        <v>0</v>
      </c>
      <c r="I103" s="28"/>
      <c r="J103" s="29">
        <f t="shared" si="5"/>
        <v>0</v>
      </c>
      <c r="K103" s="30">
        <f t="shared" si="4"/>
        <v>0</v>
      </c>
    </row>
    <row r="104">
      <c r="B104" s="25"/>
      <c r="C104" s="26" t="s">
        <v>28</v>
      </c>
      <c r="D104" s="26" t="s">
        <v>28</v>
      </c>
      <c r="E104" s="26" t="s">
        <v>28</v>
      </c>
      <c r="F104" s="27"/>
      <c r="G104" s="27">
        <f t="shared" si="1"/>
        <v>0</v>
      </c>
      <c r="H104" s="27">
        <f t="shared" si="2"/>
        <v>0</v>
      </c>
      <c r="I104" s="28"/>
      <c r="J104" s="29">
        <f t="shared" si="5"/>
        <v>0</v>
      </c>
      <c r="K104" s="30">
        <f t="shared" si="4"/>
        <v>0</v>
      </c>
    </row>
    <row r="105">
      <c r="A105" s="26" t="s">
        <v>28</v>
      </c>
      <c r="B105" s="25"/>
      <c r="C105" s="26" t="s">
        <v>28</v>
      </c>
      <c r="D105" s="26" t="s">
        <v>28</v>
      </c>
      <c r="E105" s="26" t="s">
        <v>28</v>
      </c>
      <c r="F105" s="27"/>
      <c r="G105" s="27">
        <f t="shared" si="1"/>
        <v>0</v>
      </c>
      <c r="H105" s="27">
        <f t="shared" si="2"/>
        <v>0</v>
      </c>
      <c r="I105" s="28"/>
      <c r="J105" s="29">
        <f t="shared" si="5"/>
        <v>0</v>
      </c>
      <c r="K105" s="30">
        <f t="shared" si="4"/>
        <v>0</v>
      </c>
      <c r="L105" s="31" t="str">
        <f>SUM(VLOOKUP(A105,$A$165:$C$178,2,False)*25%,VLOOKUP(A105,$A$165:$C$178,3,False)*25%)</f>
        <v>#N/A</v>
      </c>
    </row>
    <row r="106">
      <c r="B106" s="25"/>
      <c r="C106" s="26" t="s">
        <v>28</v>
      </c>
      <c r="D106" s="26" t="s">
        <v>28</v>
      </c>
      <c r="E106" s="26" t="s">
        <v>28</v>
      </c>
      <c r="F106" s="27"/>
      <c r="G106" s="27">
        <f t="shared" si="1"/>
        <v>0</v>
      </c>
      <c r="H106" s="27">
        <f t="shared" si="2"/>
        <v>0</v>
      </c>
      <c r="I106" s="28"/>
      <c r="J106" s="29">
        <f t="shared" si="5"/>
        <v>0</v>
      </c>
      <c r="K106" s="30">
        <f t="shared" si="4"/>
        <v>0</v>
      </c>
    </row>
    <row r="107">
      <c r="B107" s="25"/>
      <c r="C107" s="26" t="s">
        <v>28</v>
      </c>
      <c r="D107" s="26" t="s">
        <v>28</v>
      </c>
      <c r="E107" s="26" t="s">
        <v>28</v>
      </c>
      <c r="F107" s="27"/>
      <c r="G107" s="27">
        <f t="shared" si="1"/>
        <v>0</v>
      </c>
      <c r="H107" s="27">
        <f t="shared" si="2"/>
        <v>0</v>
      </c>
      <c r="I107" s="28"/>
      <c r="J107" s="29">
        <f t="shared" si="5"/>
        <v>0</v>
      </c>
      <c r="K107" s="30">
        <f t="shared" si="4"/>
        <v>0</v>
      </c>
    </row>
    <row r="108">
      <c r="B108" s="25"/>
      <c r="C108" s="26" t="s">
        <v>28</v>
      </c>
      <c r="D108" s="26" t="s">
        <v>28</v>
      </c>
      <c r="E108" s="26" t="s">
        <v>28</v>
      </c>
      <c r="F108" s="27"/>
      <c r="G108" s="27">
        <f t="shared" si="1"/>
        <v>0</v>
      </c>
      <c r="H108" s="27">
        <f t="shared" si="2"/>
        <v>0</v>
      </c>
      <c r="I108" s="28"/>
      <c r="J108" s="29">
        <f t="shared" si="5"/>
        <v>0</v>
      </c>
      <c r="K108" s="30">
        <f t="shared" si="4"/>
        <v>0</v>
      </c>
    </row>
    <row r="109">
      <c r="B109" s="25"/>
      <c r="C109" s="26" t="s">
        <v>28</v>
      </c>
      <c r="D109" s="26" t="s">
        <v>28</v>
      </c>
      <c r="E109" s="26" t="s">
        <v>28</v>
      </c>
      <c r="F109" s="27"/>
      <c r="G109" s="27">
        <f t="shared" si="1"/>
        <v>0</v>
      </c>
      <c r="H109" s="27">
        <f t="shared" si="2"/>
        <v>0</v>
      </c>
      <c r="I109" s="28"/>
      <c r="J109" s="29">
        <f t="shared" si="5"/>
        <v>0</v>
      </c>
      <c r="K109" s="30">
        <f t="shared" si="4"/>
        <v>0</v>
      </c>
    </row>
    <row r="110">
      <c r="B110" s="25"/>
      <c r="C110" s="26" t="s">
        <v>28</v>
      </c>
      <c r="D110" s="26" t="s">
        <v>28</v>
      </c>
      <c r="E110" s="26" t="s">
        <v>28</v>
      </c>
      <c r="F110" s="27"/>
      <c r="G110" s="27">
        <f t="shared" si="1"/>
        <v>0</v>
      </c>
      <c r="H110" s="27">
        <f t="shared" si="2"/>
        <v>0</v>
      </c>
      <c r="I110" s="28"/>
      <c r="J110" s="29">
        <f t="shared" si="5"/>
        <v>0</v>
      </c>
      <c r="K110" s="30">
        <f t="shared" si="4"/>
        <v>0</v>
      </c>
    </row>
    <row r="111">
      <c r="B111" s="25"/>
      <c r="C111" s="26" t="s">
        <v>28</v>
      </c>
      <c r="D111" s="26" t="s">
        <v>28</v>
      </c>
      <c r="E111" s="26" t="s">
        <v>28</v>
      </c>
      <c r="F111" s="27"/>
      <c r="G111" s="27">
        <f t="shared" si="1"/>
        <v>0</v>
      </c>
      <c r="H111" s="27">
        <f t="shared" si="2"/>
        <v>0</v>
      </c>
      <c r="I111" s="28"/>
      <c r="J111" s="29">
        <f t="shared" si="5"/>
        <v>0</v>
      </c>
      <c r="K111" s="30">
        <f t="shared" si="4"/>
        <v>0</v>
      </c>
    </row>
    <row r="112">
      <c r="B112" s="25"/>
      <c r="C112" s="26" t="s">
        <v>28</v>
      </c>
      <c r="D112" s="26" t="s">
        <v>28</v>
      </c>
      <c r="E112" s="26" t="s">
        <v>28</v>
      </c>
      <c r="F112" s="27"/>
      <c r="G112" s="27">
        <f t="shared" si="1"/>
        <v>0</v>
      </c>
      <c r="H112" s="27">
        <f t="shared" si="2"/>
        <v>0</v>
      </c>
      <c r="I112" s="28"/>
      <c r="J112" s="29">
        <f t="shared" si="5"/>
        <v>0</v>
      </c>
      <c r="K112" s="30">
        <f t="shared" si="4"/>
        <v>0</v>
      </c>
    </row>
    <row r="113">
      <c r="B113" s="25"/>
      <c r="C113" s="26" t="s">
        <v>28</v>
      </c>
      <c r="D113" s="26" t="s">
        <v>28</v>
      </c>
      <c r="E113" s="26" t="s">
        <v>28</v>
      </c>
      <c r="F113" s="27"/>
      <c r="G113" s="27">
        <f t="shared" si="1"/>
        <v>0</v>
      </c>
      <c r="H113" s="27">
        <f t="shared" si="2"/>
        <v>0</v>
      </c>
      <c r="I113" s="28"/>
      <c r="J113" s="29">
        <f t="shared" si="5"/>
        <v>0</v>
      </c>
      <c r="K113" s="30">
        <f t="shared" si="4"/>
        <v>0</v>
      </c>
    </row>
    <row r="114">
      <c r="B114" s="25"/>
      <c r="C114" s="26" t="s">
        <v>28</v>
      </c>
      <c r="D114" s="26" t="s">
        <v>28</v>
      </c>
      <c r="E114" s="26" t="s">
        <v>28</v>
      </c>
      <c r="F114" s="27"/>
      <c r="G114" s="27">
        <f t="shared" si="1"/>
        <v>0</v>
      </c>
      <c r="H114" s="27">
        <f t="shared" si="2"/>
        <v>0</v>
      </c>
      <c r="I114" s="28"/>
      <c r="J114" s="29">
        <f t="shared" si="5"/>
        <v>0</v>
      </c>
      <c r="K114" s="30">
        <f t="shared" si="4"/>
        <v>0</v>
      </c>
    </row>
    <row r="115">
      <c r="B115" s="25"/>
      <c r="C115" s="26" t="s">
        <v>28</v>
      </c>
      <c r="D115" s="26" t="s">
        <v>28</v>
      </c>
      <c r="E115" s="26" t="s">
        <v>28</v>
      </c>
      <c r="F115" s="27"/>
      <c r="G115" s="27">
        <f t="shared" si="1"/>
        <v>0</v>
      </c>
      <c r="H115" s="27">
        <f t="shared" si="2"/>
        <v>0</v>
      </c>
      <c r="I115" s="28"/>
      <c r="J115" s="29">
        <f t="shared" si="5"/>
        <v>0</v>
      </c>
      <c r="K115" s="30">
        <f t="shared" si="4"/>
        <v>0</v>
      </c>
    </row>
    <row r="116">
      <c r="B116" s="25"/>
      <c r="C116" s="26" t="s">
        <v>28</v>
      </c>
      <c r="D116" s="26" t="s">
        <v>28</v>
      </c>
      <c r="E116" s="26" t="s">
        <v>28</v>
      </c>
      <c r="F116" s="27"/>
      <c r="G116" s="27">
        <f t="shared" si="1"/>
        <v>0</v>
      </c>
      <c r="H116" s="27">
        <f t="shared" si="2"/>
        <v>0</v>
      </c>
      <c r="I116" s="28"/>
      <c r="J116" s="29">
        <f t="shared" si="5"/>
        <v>0</v>
      </c>
      <c r="K116" s="30">
        <f t="shared" si="4"/>
        <v>0</v>
      </c>
    </row>
    <row r="117">
      <c r="A117" s="26" t="s">
        <v>31</v>
      </c>
      <c r="B117" s="25"/>
      <c r="C117" s="26" t="s">
        <v>14</v>
      </c>
      <c r="D117" s="26" t="s">
        <v>18</v>
      </c>
      <c r="E117" s="26" t="s">
        <v>17</v>
      </c>
      <c r="F117" s="27"/>
      <c r="G117" s="27">
        <f t="shared" si="1"/>
        <v>200</v>
      </c>
      <c r="H117" s="27">
        <f t="shared" si="2"/>
        <v>0</v>
      </c>
      <c r="I117" s="28"/>
      <c r="J117" s="29">
        <f t="shared" si="5"/>
        <v>0</v>
      </c>
      <c r="K117" s="30">
        <f t="shared" si="4"/>
        <v>0</v>
      </c>
      <c r="L117" s="31">
        <f>SUM(VLOOKUP(A117,$A$165:$C$178,2,False)*25%,VLOOKUP(A117,$A$165:$C$178,3,False)*25%)</f>
        <v>187.5</v>
      </c>
    </row>
    <row r="118">
      <c r="B118" s="25"/>
      <c r="C118" s="26" t="s">
        <v>16</v>
      </c>
      <c r="D118" s="26" t="s">
        <v>28</v>
      </c>
      <c r="E118" s="26" t="s">
        <v>32</v>
      </c>
      <c r="F118" s="29">
        <v>1.0</v>
      </c>
      <c r="G118" s="27">
        <f t="shared" si="1"/>
        <v>0</v>
      </c>
      <c r="H118" s="27">
        <f t="shared" si="2"/>
        <v>0</v>
      </c>
      <c r="I118" s="28"/>
      <c r="J118" s="29">
        <f t="shared" si="5"/>
        <v>0</v>
      </c>
      <c r="K118" s="30">
        <f t="shared" si="4"/>
        <v>0</v>
      </c>
    </row>
    <row r="119">
      <c r="B119" s="25"/>
      <c r="C119" s="26" t="s">
        <v>28</v>
      </c>
      <c r="D119" s="26" t="s">
        <v>28</v>
      </c>
      <c r="E119" s="26" t="s">
        <v>28</v>
      </c>
      <c r="F119" s="27"/>
      <c r="G119" s="27">
        <f t="shared" si="1"/>
        <v>0</v>
      </c>
      <c r="H119" s="27">
        <f t="shared" si="2"/>
        <v>0</v>
      </c>
      <c r="I119" s="28"/>
      <c r="J119" s="29">
        <f t="shared" si="5"/>
        <v>0</v>
      </c>
      <c r="K119" s="30">
        <f t="shared" si="4"/>
        <v>0</v>
      </c>
    </row>
    <row r="120">
      <c r="B120" s="25"/>
      <c r="C120" s="26" t="s">
        <v>28</v>
      </c>
      <c r="D120" s="26" t="s">
        <v>28</v>
      </c>
      <c r="E120" s="26" t="s">
        <v>28</v>
      </c>
      <c r="F120" s="27"/>
      <c r="G120" s="27">
        <f t="shared" si="1"/>
        <v>0</v>
      </c>
      <c r="H120" s="27">
        <f t="shared" si="2"/>
        <v>0</v>
      </c>
      <c r="I120" s="28"/>
      <c r="J120" s="29">
        <f t="shared" si="5"/>
        <v>0</v>
      </c>
      <c r="K120" s="30">
        <f t="shared" si="4"/>
        <v>0</v>
      </c>
    </row>
    <row r="121">
      <c r="B121" s="25"/>
      <c r="C121" s="26" t="s">
        <v>28</v>
      </c>
      <c r="D121" s="26" t="s">
        <v>28</v>
      </c>
      <c r="E121" s="26" t="s">
        <v>28</v>
      </c>
      <c r="F121" s="27"/>
      <c r="G121" s="27">
        <f t="shared" si="1"/>
        <v>0</v>
      </c>
      <c r="H121" s="27">
        <f t="shared" si="2"/>
        <v>0</v>
      </c>
      <c r="I121" s="28"/>
      <c r="J121" s="29">
        <f t="shared" si="5"/>
        <v>0</v>
      </c>
      <c r="K121" s="30">
        <f t="shared" si="4"/>
        <v>0</v>
      </c>
    </row>
    <row r="122">
      <c r="B122" s="25"/>
      <c r="C122" s="26" t="s">
        <v>28</v>
      </c>
      <c r="D122" s="26" t="s">
        <v>28</v>
      </c>
      <c r="E122" s="26" t="s">
        <v>28</v>
      </c>
      <c r="F122" s="27"/>
      <c r="G122" s="27">
        <f t="shared" si="1"/>
        <v>0</v>
      </c>
      <c r="H122" s="27">
        <f t="shared" si="2"/>
        <v>0</v>
      </c>
      <c r="I122" s="28"/>
      <c r="J122" s="29">
        <f t="shared" si="5"/>
        <v>0</v>
      </c>
      <c r="K122" s="30">
        <f t="shared" si="4"/>
        <v>0</v>
      </c>
    </row>
    <row r="123">
      <c r="B123" s="25"/>
      <c r="C123" s="26" t="s">
        <v>28</v>
      </c>
      <c r="D123" s="26" t="s">
        <v>28</v>
      </c>
      <c r="E123" s="26" t="s">
        <v>28</v>
      </c>
      <c r="F123" s="27"/>
      <c r="G123" s="27">
        <f t="shared" si="1"/>
        <v>0</v>
      </c>
      <c r="H123" s="27">
        <f t="shared" si="2"/>
        <v>0</v>
      </c>
      <c r="I123" s="28"/>
      <c r="J123" s="29">
        <f t="shared" si="5"/>
        <v>0</v>
      </c>
      <c r="K123" s="30">
        <f t="shared" si="4"/>
        <v>0</v>
      </c>
    </row>
    <row r="124">
      <c r="B124" s="25"/>
      <c r="C124" s="26" t="s">
        <v>28</v>
      </c>
      <c r="D124" s="26" t="s">
        <v>28</v>
      </c>
      <c r="E124" s="26" t="s">
        <v>28</v>
      </c>
      <c r="F124" s="27"/>
      <c r="G124" s="27">
        <f t="shared" si="1"/>
        <v>0</v>
      </c>
      <c r="H124" s="27">
        <f t="shared" si="2"/>
        <v>0</v>
      </c>
      <c r="I124" s="28"/>
      <c r="J124" s="29">
        <f t="shared" si="5"/>
        <v>0</v>
      </c>
      <c r="K124" s="30">
        <f t="shared" si="4"/>
        <v>0</v>
      </c>
    </row>
    <row r="125">
      <c r="B125" s="25"/>
      <c r="C125" s="26" t="s">
        <v>28</v>
      </c>
      <c r="D125" s="26" t="s">
        <v>28</v>
      </c>
      <c r="E125" s="26" t="s">
        <v>28</v>
      </c>
      <c r="F125" s="27"/>
      <c r="G125" s="27">
        <f t="shared" si="1"/>
        <v>0</v>
      </c>
      <c r="H125" s="27">
        <f t="shared" si="2"/>
        <v>0</v>
      </c>
      <c r="I125" s="28"/>
      <c r="J125" s="29">
        <f t="shared" si="5"/>
        <v>0</v>
      </c>
      <c r="K125" s="30">
        <f t="shared" si="4"/>
        <v>0</v>
      </c>
    </row>
    <row r="135">
      <c r="A135" s="33" t="s">
        <v>33</v>
      </c>
      <c r="B135" s="33" t="s">
        <v>34</v>
      </c>
      <c r="C135" s="33" t="s">
        <v>35</v>
      </c>
      <c r="D135" s="33" t="s">
        <v>25</v>
      </c>
      <c r="E135" s="33" t="s">
        <v>36</v>
      </c>
      <c r="F135" s="33" t="s">
        <v>16</v>
      </c>
      <c r="G135" s="33" t="s">
        <v>37</v>
      </c>
      <c r="H135" s="34" t="s">
        <v>38</v>
      </c>
      <c r="I135" s="33" t="s">
        <v>39</v>
      </c>
    </row>
    <row r="136">
      <c r="A136" s="35" t="s">
        <v>40</v>
      </c>
      <c r="B136" s="35">
        <v>312.5</v>
      </c>
      <c r="C136" s="35">
        <v>468.75</v>
      </c>
      <c r="D136" s="35">
        <v>86.0</v>
      </c>
      <c r="E136" s="35">
        <v>156.25</v>
      </c>
      <c r="F136" s="35">
        <v>140.0</v>
      </c>
      <c r="G136" s="36">
        <v>5.0</v>
      </c>
      <c r="H136" s="36">
        <v>0.0</v>
      </c>
    </row>
    <row r="137">
      <c r="A137" s="35" t="s">
        <v>30</v>
      </c>
      <c r="B137" s="35">
        <v>625.0</v>
      </c>
      <c r="C137" s="35">
        <v>937.5</v>
      </c>
      <c r="D137" s="35">
        <v>86.0</v>
      </c>
      <c r="E137" s="35">
        <v>156.25</v>
      </c>
      <c r="F137" s="35">
        <v>312.5</v>
      </c>
      <c r="G137" s="36">
        <v>0.0</v>
      </c>
      <c r="H137" s="36">
        <v>0.0</v>
      </c>
    </row>
    <row r="138">
      <c r="A138" s="35" t="s">
        <v>18</v>
      </c>
      <c r="B138" s="35">
        <v>312.5</v>
      </c>
      <c r="C138" s="35">
        <v>468.75</v>
      </c>
      <c r="D138" s="35">
        <v>86.0</v>
      </c>
      <c r="E138" s="35">
        <v>156.25</v>
      </c>
      <c r="F138" s="35">
        <v>140.0</v>
      </c>
      <c r="G138" s="37">
        <v>86.0</v>
      </c>
      <c r="H138" s="37">
        <v>156.25</v>
      </c>
      <c r="I138" s="38"/>
    </row>
    <row r="139">
      <c r="A139" s="35" t="s">
        <v>19</v>
      </c>
      <c r="B139" s="35">
        <v>312.5</v>
      </c>
      <c r="C139" s="35">
        <v>468.75</v>
      </c>
      <c r="D139" s="35">
        <v>86.0</v>
      </c>
      <c r="E139" s="35">
        <v>156.25</v>
      </c>
      <c r="F139" s="35">
        <v>140.0</v>
      </c>
      <c r="G139" s="37">
        <v>86.0</v>
      </c>
      <c r="H139" s="37">
        <v>156.25</v>
      </c>
      <c r="I139" s="38"/>
    </row>
    <row r="140">
      <c r="A140" s="35" t="s">
        <v>22</v>
      </c>
      <c r="B140" s="35">
        <v>312.5</v>
      </c>
      <c r="C140" s="35">
        <v>468.75</v>
      </c>
      <c r="D140" s="35">
        <v>86.0</v>
      </c>
      <c r="E140" s="35">
        <v>156.25</v>
      </c>
      <c r="F140" s="35">
        <v>140.0</v>
      </c>
      <c r="G140" s="37">
        <v>86.0</v>
      </c>
      <c r="H140" s="37">
        <v>156.25</v>
      </c>
      <c r="I140" s="38"/>
    </row>
    <row r="141">
      <c r="A141" s="35" t="s">
        <v>15</v>
      </c>
      <c r="B141" s="35">
        <v>312.5</v>
      </c>
      <c r="C141" s="35">
        <v>468.75</v>
      </c>
      <c r="D141" s="35">
        <v>86.0</v>
      </c>
      <c r="E141" s="35">
        <v>156.25</v>
      </c>
      <c r="F141" s="35">
        <v>140.0</v>
      </c>
      <c r="G141" s="37">
        <v>86.0</v>
      </c>
      <c r="H141" s="37">
        <v>156.25</v>
      </c>
      <c r="I141" s="38"/>
    </row>
    <row r="142">
      <c r="A142" s="35" t="s">
        <v>17</v>
      </c>
      <c r="B142" s="35">
        <v>200.0</v>
      </c>
      <c r="C142" s="35">
        <v>300.0</v>
      </c>
      <c r="D142" s="35">
        <v>50.0</v>
      </c>
      <c r="E142" s="35">
        <v>150.0</v>
      </c>
      <c r="F142" s="35">
        <v>100.0</v>
      </c>
      <c r="G142" s="36">
        <v>0.0</v>
      </c>
      <c r="H142" s="36">
        <v>0.0</v>
      </c>
    </row>
    <row r="143">
      <c r="A143" s="35" t="s">
        <v>32</v>
      </c>
      <c r="B143" s="35">
        <v>100.0</v>
      </c>
      <c r="C143" s="35">
        <v>200.0</v>
      </c>
      <c r="D143" s="35">
        <v>25.0</v>
      </c>
      <c r="E143" s="35">
        <v>75.0</v>
      </c>
      <c r="F143" s="35">
        <v>50.0</v>
      </c>
      <c r="G143" s="36">
        <v>0.0</v>
      </c>
      <c r="H143" s="36">
        <v>0.0</v>
      </c>
    </row>
    <row r="144">
      <c r="A144" s="35" t="s">
        <v>20</v>
      </c>
      <c r="B144" s="35">
        <v>200.0</v>
      </c>
      <c r="C144" s="35">
        <v>800.0</v>
      </c>
      <c r="D144" s="35">
        <v>100.0</v>
      </c>
      <c r="E144" s="35">
        <v>300.0</v>
      </c>
      <c r="F144" s="35">
        <v>200.0</v>
      </c>
      <c r="G144" s="36">
        <v>0.0</v>
      </c>
      <c r="H144" s="36">
        <v>0.0</v>
      </c>
    </row>
    <row r="145">
      <c r="A145" s="35" t="s">
        <v>26</v>
      </c>
      <c r="B145" s="35">
        <v>23.0</v>
      </c>
      <c r="C145" s="35">
        <v>20.0</v>
      </c>
      <c r="D145" s="35">
        <v>22.0</v>
      </c>
      <c r="E145" s="35">
        <v>24.0</v>
      </c>
      <c r="F145" s="35">
        <v>26.0</v>
      </c>
      <c r="G145" s="36">
        <v>0.0</v>
      </c>
      <c r="H145" s="36">
        <v>0.0</v>
      </c>
    </row>
    <row r="146">
      <c r="A146" s="35" t="s">
        <v>21</v>
      </c>
      <c r="B146" s="35">
        <v>35.0</v>
      </c>
      <c r="C146" s="35">
        <v>20.0</v>
      </c>
      <c r="D146" s="35">
        <v>44.0</v>
      </c>
      <c r="E146" s="35">
        <v>80.0</v>
      </c>
      <c r="F146" s="35">
        <v>44.0</v>
      </c>
      <c r="G146" s="36">
        <v>0.0</v>
      </c>
      <c r="H146" s="36">
        <v>0.0</v>
      </c>
    </row>
    <row r="147">
      <c r="A147" s="35" t="s">
        <v>23</v>
      </c>
      <c r="B147" s="35">
        <v>35.0</v>
      </c>
      <c r="C147" s="35">
        <v>20.0</v>
      </c>
      <c r="D147" s="35">
        <v>44.0</v>
      </c>
      <c r="E147" s="35">
        <v>44.0</v>
      </c>
      <c r="F147" s="35">
        <v>44.0</v>
      </c>
      <c r="G147" s="36">
        <v>0.0</v>
      </c>
      <c r="H147" s="36">
        <v>0.0</v>
      </c>
    </row>
    <row r="148">
      <c r="A148" s="35" t="s">
        <v>27</v>
      </c>
      <c r="B148" s="35">
        <v>35.0</v>
      </c>
      <c r="C148" s="35">
        <v>20.0</v>
      </c>
      <c r="D148" s="35">
        <v>44.0</v>
      </c>
      <c r="E148" s="35">
        <v>44.0</v>
      </c>
      <c r="F148" s="35">
        <v>44.0</v>
      </c>
      <c r="G148" s="36">
        <v>0.0</v>
      </c>
      <c r="H148" s="36">
        <v>0.0</v>
      </c>
    </row>
    <row r="149">
      <c r="A149" s="35" t="s">
        <v>24</v>
      </c>
      <c r="B149" s="35">
        <v>35.0</v>
      </c>
      <c r="C149" s="35">
        <v>20.0</v>
      </c>
      <c r="D149" s="35">
        <v>44.0</v>
      </c>
      <c r="E149" s="35">
        <v>65.0</v>
      </c>
      <c r="F149" s="35">
        <v>44.0</v>
      </c>
      <c r="G149" s="36">
        <v>0.0</v>
      </c>
      <c r="H149" s="36">
        <v>0.0</v>
      </c>
    </row>
    <row r="152">
      <c r="A152" s="35"/>
      <c r="B152" s="35"/>
      <c r="C152" s="35"/>
      <c r="D152" s="35"/>
      <c r="E152" s="35"/>
      <c r="F152" s="35"/>
      <c r="G152" s="37"/>
      <c r="H152" s="37"/>
      <c r="I152" s="38"/>
    </row>
    <row r="153">
      <c r="A153" s="35"/>
      <c r="B153" s="39"/>
      <c r="C153" s="35"/>
      <c r="D153" s="39"/>
      <c r="E153" s="39"/>
      <c r="F153" s="39"/>
      <c r="G153" s="37"/>
      <c r="H153" s="37"/>
      <c r="I153" s="38"/>
    </row>
    <row r="154">
      <c r="A154" s="35"/>
      <c r="B154" s="39"/>
      <c r="C154" s="39"/>
      <c r="D154" s="39"/>
      <c r="E154" s="39"/>
      <c r="F154" s="39"/>
      <c r="G154" s="37"/>
      <c r="H154" s="37"/>
      <c r="I154" s="38"/>
    </row>
    <row r="155">
      <c r="A155" s="35"/>
      <c r="B155" s="39"/>
      <c r="C155" s="39"/>
      <c r="D155" s="39"/>
      <c r="E155" s="39"/>
      <c r="F155" s="39"/>
      <c r="G155" s="38"/>
      <c r="H155" s="38"/>
      <c r="I155" s="38"/>
    </row>
    <row r="165">
      <c r="A165" s="40" t="s">
        <v>41</v>
      </c>
      <c r="B165" s="41" t="s">
        <v>42</v>
      </c>
      <c r="C165" s="42" t="s">
        <v>43</v>
      </c>
    </row>
    <row r="166">
      <c r="A166" s="43" t="s">
        <v>29</v>
      </c>
      <c r="B166" s="44">
        <v>5000.0</v>
      </c>
      <c r="C166" s="44">
        <v>2500.0</v>
      </c>
    </row>
    <row r="167">
      <c r="A167" s="45" t="s">
        <v>13</v>
      </c>
      <c r="B167" s="44">
        <v>5000.0</v>
      </c>
      <c r="C167" s="44">
        <v>2500.0</v>
      </c>
    </row>
    <row r="168">
      <c r="A168" s="43" t="s">
        <v>31</v>
      </c>
      <c r="B168" s="46">
        <v>500.0</v>
      </c>
      <c r="C168" s="46">
        <v>250.0</v>
      </c>
    </row>
    <row r="169">
      <c r="A169" s="47"/>
      <c r="B169" s="44"/>
      <c r="C169" s="44"/>
    </row>
    <row r="170">
      <c r="A170" s="48"/>
      <c r="B170" s="46"/>
      <c r="C170" s="44"/>
    </row>
    <row r="171">
      <c r="A171" s="47"/>
      <c r="B171" s="44"/>
      <c r="C171" s="44"/>
    </row>
    <row r="172">
      <c r="A172" s="48"/>
      <c r="B172" s="44"/>
      <c r="C172" s="44"/>
    </row>
    <row r="173">
      <c r="A173" s="47"/>
      <c r="B173" s="44"/>
      <c r="C173" s="44"/>
    </row>
    <row r="174">
      <c r="A174" s="48"/>
      <c r="B174" s="44"/>
      <c r="C174" s="44"/>
    </row>
    <row r="175">
      <c r="A175" s="47"/>
      <c r="B175" s="44"/>
      <c r="C175" s="44"/>
    </row>
    <row r="176">
      <c r="A176" s="48"/>
      <c r="B176" s="44"/>
      <c r="C176" s="44"/>
    </row>
    <row r="177">
      <c r="A177" s="47"/>
      <c r="B177" s="44"/>
      <c r="C177" s="44"/>
    </row>
    <row r="178">
      <c r="A178" s="48"/>
      <c r="B178" s="44"/>
      <c r="C178" s="44"/>
    </row>
  </sheetData>
  <mergeCells count="21">
    <mergeCell ref="L29:L40"/>
    <mergeCell ref="L41:L53"/>
    <mergeCell ref="L16:L28"/>
    <mergeCell ref="L54:L65"/>
    <mergeCell ref="L3:L15"/>
    <mergeCell ref="L66:L78"/>
    <mergeCell ref="A79:A91"/>
    <mergeCell ref="L79:L91"/>
    <mergeCell ref="A92:A104"/>
    <mergeCell ref="L92:L104"/>
    <mergeCell ref="A105:A116"/>
    <mergeCell ref="L105:L116"/>
    <mergeCell ref="A117:A125"/>
    <mergeCell ref="L117:L125"/>
    <mergeCell ref="A1:L1"/>
    <mergeCell ref="A3:A15"/>
    <mergeCell ref="A16:A28"/>
    <mergeCell ref="A29:A40"/>
    <mergeCell ref="A41:A53"/>
    <mergeCell ref="A54:A65"/>
    <mergeCell ref="A66:A78"/>
  </mergeCells>
  <dataValidations>
    <dataValidation type="list" allowBlank="1" showErrorMessage="1" sqref="C3:C125">
      <formula1>"Short video design,Poster Design,Content for Poster,Content for Video,Long Video Design,NIL"</formula1>
    </dataValidation>
    <dataValidation type="list" allowBlank="1" showErrorMessage="1" sqref="A3 A16 A29 A41 A54 A66 A79 A92 A105 A117">
      <formula1>"Sony Tyres,Alfah Cements,Manusha,LG,NIL,Prince Tyres"</formula1>
    </dataValidation>
    <dataValidation type="list" allowBlank="1" showErrorMessage="1" sqref="D3:D125">
      <formula1>"Siddharth Mohan,Vishnu Kalpamangalam,Anu Shigha,Nebil Divay,NIL,Hobo"</formula1>
    </dataValidation>
    <dataValidation type="custom" allowBlank="1" showDropDown="1" sqref="B3:B125 I3:I125">
      <formula1>OR(NOT(ISERROR(DATEVALUE(B3))), AND(ISNUMBER(B3), LEFT(CELL("format", B3))="D"))</formula1>
    </dataValidation>
    <dataValidation type="list" allowBlank="1" showErrorMessage="1" sqref="E3:E125">
      <formula1>"Ram,Dyan,Achu,Rehan,Sachu,Anuba,Sreeju,Dyan,Finan,Hobo,Siddharth Mohan,NIL,Anu Shigha,Vishnu Kalpamangalam,Nebil Divay"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9.13"/>
    <col customWidth="1" min="3" max="3" width="18.63"/>
    <col customWidth="1" min="4" max="4" width="20.5"/>
    <col customWidth="1" min="5" max="5" width="17.63"/>
    <col customWidth="1" min="6" max="6" width="18.75"/>
    <col customWidth="1" min="7" max="7" width="19.25"/>
    <col customWidth="1" min="8" max="9" width="17.38"/>
    <col customWidth="1" min="10" max="10" width="15.13"/>
  </cols>
  <sheetData>
    <row r="1" ht="42.0" customHeight="1">
      <c r="A1" s="49" t="s">
        <v>44</v>
      </c>
      <c r="J1" s="50"/>
    </row>
    <row r="2" ht="29.25" customHeight="1">
      <c r="A2" s="51" t="s">
        <v>45</v>
      </c>
      <c r="B2" s="51" t="s">
        <v>46</v>
      </c>
      <c r="C2" s="51" t="s">
        <v>47</v>
      </c>
      <c r="D2" s="51" t="s">
        <v>41</v>
      </c>
      <c r="E2" s="51" t="s">
        <v>48</v>
      </c>
      <c r="F2" s="51" t="s">
        <v>49</v>
      </c>
      <c r="G2" s="51" t="s">
        <v>50</v>
      </c>
      <c r="H2" s="51" t="s">
        <v>51</v>
      </c>
      <c r="I2" s="51" t="s">
        <v>52</v>
      </c>
    </row>
    <row r="3" ht="29.25" customHeight="1">
      <c r="A3" s="52" t="str">
        <f>IF(Calculation!E3=Calculation!$A$142,Calculation!B3,"")</f>
        <v/>
      </c>
      <c r="B3" s="53" t="str">
        <f>IF(Calculation!E3=Calculation!$A$142,Calculation!I3,"")</f>
        <v/>
      </c>
      <c r="C3" s="52" t="str">
        <f>IF(Calculation!E3=Calculation!$A$142,Calculation!D3,"")</f>
        <v/>
      </c>
      <c r="D3" s="52" t="str">
        <f>IF(Calculation!E3=Calculation!$A$142,Calculation!$A$3,"")</f>
        <v/>
      </c>
      <c r="E3" s="52" t="str">
        <f>IF(Calculation!E3=Calculation!$A$142,Calculation!C3,"")</f>
        <v/>
      </c>
      <c r="F3" s="52" t="str">
        <f>IF(Calculation!E3=Calculation!$A$142,Calculation!F3,"")</f>
        <v/>
      </c>
      <c r="G3" s="54" t="str">
        <f>IF(Calculation!E3=Calculation!$A$142,Calculation!G3,"")</f>
        <v/>
      </c>
      <c r="H3" s="54" t="str">
        <f>IF(Calculation!E3=Calculation!$A$142,Calculation!H3,"")</f>
        <v/>
      </c>
      <c r="I3" s="55">
        <f>SUMIF(Calculation!E3:E125,Calculation!$A$142,Calculation!H3:H125)</f>
        <v>700</v>
      </c>
      <c r="M3" s="56"/>
    </row>
    <row r="4" ht="20.25" customHeight="1">
      <c r="A4" s="52" t="str">
        <f>IF(Calculation!E4=Calculation!$A$142,Calculation!B4,"")</f>
        <v/>
      </c>
      <c r="B4" s="53" t="str">
        <f>IF(Calculation!E4=Calculation!$A$142,Calculation!I4,"")</f>
        <v/>
      </c>
      <c r="C4" s="52" t="str">
        <f>IF(Calculation!E4=Calculation!$A$142,Calculation!D4,"")</f>
        <v/>
      </c>
      <c r="D4" s="52" t="str">
        <f>IF(Calculation!E4=Calculation!$A$142,Calculation!$A$3,"")</f>
        <v/>
      </c>
      <c r="E4" s="52" t="str">
        <f>IF(Calculation!E4=Calculation!$A$142,Calculation!C4,"")</f>
        <v/>
      </c>
      <c r="F4" s="52" t="str">
        <f>IF(Calculation!E4=Calculation!$A$142,Calculation!F4,"")</f>
        <v/>
      </c>
      <c r="G4" s="54" t="str">
        <f>IF(Calculation!E4=Calculation!$A$142,Calculation!G4,"")</f>
        <v/>
      </c>
      <c r="H4" s="54" t="str">
        <f>IF(Calculation!E4=Calculation!$A$142,Calculation!H4,"")</f>
        <v/>
      </c>
      <c r="I4" s="55"/>
    </row>
    <row r="5">
      <c r="A5" s="57">
        <f>IF(Calculation!E5=Calculation!$A$142,Calculation!B5,"")</f>
        <v>45455</v>
      </c>
      <c r="B5" s="53">
        <f>IF(Calculation!E5=Calculation!$A$142,Calculation!I5,"")</f>
        <v>45455</v>
      </c>
      <c r="C5" s="52" t="str">
        <f>IF(Calculation!E5=Calculation!$A$142,Calculation!D5,"")</f>
        <v>Anu Shigha</v>
      </c>
      <c r="D5" s="52" t="str">
        <f>IF(Calculation!E5=Calculation!$A$142,Calculation!$A$3,"")</f>
        <v>Sony Tyres</v>
      </c>
      <c r="E5" s="52" t="str">
        <f>IF(Calculation!E5=Calculation!$A$142,Calculation!C5,"")</f>
        <v>Poster Design</v>
      </c>
      <c r="F5" s="52">
        <f>IF(Calculation!E5=Calculation!$A$142,Calculation!F5,"")</f>
        <v>1</v>
      </c>
      <c r="G5" s="54">
        <f>IF(Calculation!E5=Calculation!$A$142,Calculation!G5,"")</f>
        <v>100</v>
      </c>
      <c r="H5" s="54">
        <f>IF(Calculation!E5=Calculation!$A$142,Calculation!H5,"")</f>
        <v>100</v>
      </c>
      <c r="I5" s="55"/>
    </row>
    <row r="6">
      <c r="A6" s="52" t="str">
        <f>IF(Calculation!E6=Calculation!$A$142,Calculation!B6,"")</f>
        <v/>
      </c>
      <c r="B6" s="53" t="str">
        <f>IF(Calculation!E6=Calculation!$A$142,Calculation!I6,"")</f>
        <v/>
      </c>
      <c r="C6" s="52" t="str">
        <f>IF(Calculation!E6=Calculation!$A$142,Calculation!D6,"")</f>
        <v/>
      </c>
      <c r="D6" s="52" t="str">
        <f>IF(Calculation!E6=Calculation!$A$142,Calculation!$A$3,"")</f>
        <v/>
      </c>
      <c r="E6" s="52" t="str">
        <f>IF(Calculation!E6=Calculation!$A$142,Calculation!C6,"")</f>
        <v/>
      </c>
      <c r="F6" s="52" t="str">
        <f>IF(Calculation!E6=Calculation!$A$142,Calculation!F6,"")</f>
        <v/>
      </c>
      <c r="G6" s="54" t="str">
        <f>IF(Calculation!E6=Calculation!$A$142,Calculation!G6,"")</f>
        <v/>
      </c>
      <c r="H6" s="54" t="str">
        <f>IF(Calculation!E6=Calculation!$A$142,Calculation!H6,"")</f>
        <v/>
      </c>
      <c r="I6" s="55"/>
    </row>
    <row r="7">
      <c r="A7" s="52" t="str">
        <f>IF(Calculation!E7=Calculation!$A$142,Calculation!B7,"")</f>
        <v/>
      </c>
      <c r="B7" s="53" t="str">
        <f>IF(Calculation!E7=Calculation!$A$142,Calculation!I7,"")</f>
        <v/>
      </c>
      <c r="C7" s="52" t="str">
        <f>IF(Calculation!E7=Calculation!$A$142,Calculation!D7,"")</f>
        <v/>
      </c>
      <c r="D7" s="52" t="str">
        <f>IF(Calculation!E7=Calculation!$A$142,Calculation!$A$3,"")</f>
        <v/>
      </c>
      <c r="E7" s="52" t="str">
        <f>IF(Calculation!E7=Calculation!$A$142,Calculation!C7,"")</f>
        <v/>
      </c>
      <c r="F7" s="52" t="str">
        <f>IF(Calculation!E7=Calculation!$A$142,Calculation!F7,"")</f>
        <v/>
      </c>
      <c r="G7" s="54" t="str">
        <f>IF(Calculation!E7=Calculation!$A$142,Calculation!G7,"")</f>
        <v/>
      </c>
      <c r="H7" s="54" t="str">
        <f>IF(Calculation!E7=Calculation!$A$142,Calculation!H7,"")</f>
        <v/>
      </c>
      <c r="I7" s="55"/>
    </row>
    <row r="8">
      <c r="A8" s="52" t="str">
        <f>IF(Calculation!E8=Calculation!$A$142,Calculation!B8,"")</f>
        <v/>
      </c>
      <c r="B8" s="53" t="str">
        <f>IF(Calculation!E8=Calculation!$A$142,Calculation!I8,"")</f>
        <v/>
      </c>
      <c r="C8" s="52" t="str">
        <f>IF(Calculation!E8=Calculation!$A$142,Calculation!D8,"")</f>
        <v/>
      </c>
      <c r="D8" s="52" t="str">
        <f>IF(Calculation!E8=Calculation!$A$142,Calculation!$A$3,"")</f>
        <v/>
      </c>
      <c r="E8" s="52" t="str">
        <f>IF(Calculation!E8=Calculation!$A$142,Calculation!C8,"")</f>
        <v/>
      </c>
      <c r="F8" s="52" t="str">
        <f>IF(Calculation!E8=Calculation!$A$142,Calculation!F8,"")</f>
        <v/>
      </c>
      <c r="G8" s="54" t="str">
        <f>IF(Calculation!E8=Calculation!$A$142,Calculation!G8,"")</f>
        <v/>
      </c>
      <c r="H8" s="54" t="str">
        <f>IF(Calculation!E8=Calculation!$A$142,Calculation!H8,"")</f>
        <v/>
      </c>
      <c r="I8" s="58"/>
    </row>
    <row r="9">
      <c r="A9" s="52" t="str">
        <f>IF(Calculation!E9=Calculation!$A$142,Calculation!B9,"")</f>
        <v/>
      </c>
      <c r="B9" s="53" t="str">
        <f>IF(Calculation!E9=Calculation!$A$142,Calculation!I9,"")</f>
        <v/>
      </c>
      <c r="C9" s="52" t="str">
        <f>IF(Calculation!E9=Calculation!$A$142,Calculation!D9,"")</f>
        <v/>
      </c>
      <c r="D9" s="52" t="str">
        <f>IF(Calculation!E9=Calculation!$A$142,Calculation!$A$3,"")</f>
        <v/>
      </c>
      <c r="E9" s="52" t="str">
        <f>IF(Calculation!E9=Calculation!$A$142,Calculation!C9,"")</f>
        <v/>
      </c>
      <c r="F9" s="52" t="str">
        <f>IF(Calculation!E9=Calculation!$A$142,Calculation!F9,"")</f>
        <v/>
      </c>
      <c r="G9" s="54" t="str">
        <f>IF(Calculation!E9=Calculation!$A$142,Calculation!G9,"")</f>
        <v/>
      </c>
      <c r="H9" s="54" t="str">
        <f>IF(Calculation!E9=Calculation!$A$142,Calculation!H9,"")</f>
        <v/>
      </c>
      <c r="I9" s="55"/>
    </row>
    <row r="10">
      <c r="A10" s="52" t="str">
        <f>IF(Calculation!E10=Calculation!$A$142,Calculation!B10,"")</f>
        <v/>
      </c>
      <c r="B10" s="53" t="str">
        <f>IF(Calculation!E10=Calculation!$A$142,Calculation!I10,"")</f>
        <v/>
      </c>
      <c r="C10" s="52" t="str">
        <f>IF(Calculation!E10=Calculation!$A$142,Calculation!D10,"")</f>
        <v/>
      </c>
      <c r="D10" s="52" t="str">
        <f>IF(Calculation!E10=Calculation!$A$142,Calculation!$A$3,"")</f>
        <v/>
      </c>
      <c r="E10" s="52" t="str">
        <f>IF(Calculation!E10=Calculation!$A$142,Calculation!C10,"")</f>
        <v/>
      </c>
      <c r="F10" s="52" t="str">
        <f>IF(Calculation!E10=Calculation!$A$142,Calculation!F10,"")</f>
        <v/>
      </c>
      <c r="G10" s="54" t="str">
        <f>IF(Calculation!E10=Calculation!$A$142,Calculation!G10,"")</f>
        <v/>
      </c>
      <c r="H10" s="54" t="str">
        <f>IF(Calculation!E10=Calculation!$A$142,Calculation!H10,"")</f>
        <v/>
      </c>
      <c r="I10" s="55"/>
    </row>
    <row r="11">
      <c r="A11" s="52" t="str">
        <f>IF(Calculation!E11=Calculation!$A$142,Calculation!B11,"")</f>
        <v/>
      </c>
      <c r="B11" s="53" t="str">
        <f>IF(Calculation!E11=Calculation!$A$142,Calculation!I11,"")</f>
        <v/>
      </c>
      <c r="C11" s="52" t="str">
        <f>IF(Calculation!E11=Calculation!$A$142,Calculation!D11,"")</f>
        <v/>
      </c>
      <c r="D11" s="52" t="str">
        <f>IF(Calculation!E11=Calculation!$A$142,Calculation!$A$3,"")</f>
        <v/>
      </c>
      <c r="E11" s="52" t="str">
        <f>IF(Calculation!E11=Calculation!$A$142,Calculation!C11,"")</f>
        <v/>
      </c>
      <c r="F11" s="52" t="str">
        <f>IF(Calculation!E11=Calculation!$A$142,Calculation!F11,"")</f>
        <v/>
      </c>
      <c r="G11" s="54" t="str">
        <f>IF(Calculation!E11=Calculation!$A$142,Calculation!G11,"")</f>
        <v/>
      </c>
      <c r="H11" s="54" t="str">
        <f>IF(Calculation!E11=Calculation!$A$142,Calculation!H11,"")</f>
        <v/>
      </c>
      <c r="I11" s="55"/>
    </row>
    <row r="12">
      <c r="A12" s="52" t="str">
        <f>IF(Calculation!E12=Calculation!$A$142,Calculation!B12,"")</f>
        <v/>
      </c>
      <c r="B12" s="53" t="str">
        <f>IF(Calculation!E12=Calculation!$A$142,Calculation!I12,"")</f>
        <v/>
      </c>
      <c r="C12" s="52" t="str">
        <f>IF(Calculation!E12=Calculation!$A$142,Calculation!D12,"")</f>
        <v/>
      </c>
      <c r="D12" s="52" t="str">
        <f>IF(Calculation!E12=Calculation!$A$142,Calculation!$A$3,"")</f>
        <v/>
      </c>
      <c r="E12" s="52" t="str">
        <f>IF(Calculation!E12=Calculation!$A$142,Calculation!C12,"")</f>
        <v/>
      </c>
      <c r="F12" s="52" t="str">
        <f>IF(Calculation!E12=Calculation!$A$142,Calculation!F12,"")</f>
        <v/>
      </c>
      <c r="G12" s="54" t="str">
        <f>IF(Calculation!E12=Calculation!$A$142,Calculation!G12,"")</f>
        <v/>
      </c>
      <c r="H12" s="54" t="str">
        <f>IF(Calculation!E12=Calculation!$A$142,Calculation!H12,"")</f>
        <v/>
      </c>
      <c r="I12" s="55"/>
    </row>
    <row r="13">
      <c r="A13" s="52" t="str">
        <f>IF(Calculation!E13=Calculation!$A$142,Calculation!B13,"")</f>
        <v/>
      </c>
      <c r="B13" s="53" t="str">
        <f>IF(Calculation!E13=Calculation!$A$142,Calculation!I13,"")</f>
        <v/>
      </c>
      <c r="C13" s="52" t="str">
        <f>IF(Calculation!E13=Calculation!$A$142,Calculation!D13,"")</f>
        <v/>
      </c>
      <c r="D13" s="52" t="str">
        <f>IF(Calculation!E13=Calculation!$A$142,Calculation!$A$3,"")</f>
        <v/>
      </c>
      <c r="E13" s="52" t="str">
        <f>IF(Calculation!E13=Calculation!$A$142,Calculation!C13,"")</f>
        <v/>
      </c>
      <c r="F13" s="52" t="str">
        <f>IF(Calculation!E13=Calculation!$A$142,Calculation!F13,"")</f>
        <v/>
      </c>
      <c r="G13" s="54" t="str">
        <f>IF(Calculation!E13=Calculation!$A$142,Calculation!G13,"")</f>
        <v/>
      </c>
      <c r="H13" s="54" t="str">
        <f>IF(Calculation!E13=Calculation!$A$142,Calculation!H13,"")</f>
        <v/>
      </c>
      <c r="I13" s="55"/>
    </row>
    <row r="14">
      <c r="A14" s="52" t="str">
        <f>IF(Calculation!E14=Calculation!$A$142,Calculation!B14,"")</f>
        <v/>
      </c>
      <c r="B14" s="53" t="str">
        <f>IF(Calculation!E14=Calculation!$A$142,Calculation!I14,"")</f>
        <v/>
      </c>
      <c r="C14" s="52" t="str">
        <f>IF(Calculation!E14=Calculation!$A$142,Calculation!D14,"")</f>
        <v/>
      </c>
      <c r="D14" s="52" t="str">
        <f>IF(Calculation!E14=Calculation!$A$142,Calculation!$A$3,"")</f>
        <v/>
      </c>
      <c r="E14" s="52" t="str">
        <f>IF(Calculation!E14=Calculation!$A$142,Calculation!C14,"")</f>
        <v/>
      </c>
      <c r="F14" s="52" t="str">
        <f>IF(Calculation!E14=Calculation!$A$142,Calculation!F14,"")</f>
        <v/>
      </c>
      <c r="G14" s="54" t="str">
        <f>IF(Calculation!E14=Calculation!$A$142,Calculation!G14,"")</f>
        <v/>
      </c>
      <c r="H14" s="54" t="str">
        <f>IF(Calculation!E14=Calculation!$A$142,Calculation!H14,"")</f>
        <v/>
      </c>
      <c r="I14" s="55"/>
    </row>
    <row r="15">
      <c r="A15" s="52" t="str">
        <f>IF(Calculation!E15=Calculation!$A$142,Calculation!B15,"")</f>
        <v/>
      </c>
      <c r="B15" s="53" t="str">
        <f>IF(Calculation!E15=Calculation!$A$142,Calculation!I15,"")</f>
        <v/>
      </c>
      <c r="C15" s="52" t="str">
        <f>IF(Calculation!E15=Calculation!$A$142,Calculation!D15,"")</f>
        <v/>
      </c>
      <c r="D15" s="52" t="str">
        <f>IF(Calculation!E15=Calculation!$A$142,Calculation!$A$3,"")</f>
        <v/>
      </c>
      <c r="E15" s="52" t="str">
        <f>IF(Calculation!E15=Calculation!$A$142,Calculation!C15,"")</f>
        <v/>
      </c>
      <c r="F15" s="52" t="str">
        <f>IF(Calculation!E15=Calculation!$A$142,Calculation!F15,"")</f>
        <v/>
      </c>
      <c r="G15" s="54" t="str">
        <f>IF(Calculation!E15=Calculation!$A$142,Calculation!G15,"")</f>
        <v/>
      </c>
      <c r="H15" s="54" t="str">
        <f>IF(Calculation!E15=Calculation!$A$142,Calculation!H15,"")</f>
        <v/>
      </c>
      <c r="I15" s="55"/>
    </row>
    <row r="16">
      <c r="A16" s="57">
        <f>IF(Calculation!E16=Calculation!$A$142,Calculation!B16,"")</f>
        <v>45471</v>
      </c>
      <c r="B16" s="53">
        <f>IF(Calculation!E16=Calculation!$A$142,Calculation!I16,"")</f>
        <v>45986</v>
      </c>
      <c r="C16" s="52" t="str">
        <f>IF(Calculation!E16=Calculation!$A$142,Calculation!D16,"")</f>
        <v>Hobo</v>
      </c>
      <c r="D16" s="52" t="str">
        <f>IF(Calculation!E16=Calculation!$A$142,Calculation!$A$16,"")</f>
        <v>Alfah Cements</v>
      </c>
      <c r="E16" s="52" t="str">
        <f>IF(Calculation!E16=Calculation!$A$142,Calculation!C16,"")</f>
        <v>Content for Poster</v>
      </c>
      <c r="F16" s="52">
        <f>IF(Calculation!E16=Calculation!$A$142,Calculation!F16,"")</f>
        <v>2</v>
      </c>
      <c r="G16" s="54">
        <f>IF(Calculation!E16=Calculation!$A$142,Calculation!G16,"")</f>
        <v>50</v>
      </c>
      <c r="H16" s="54">
        <f>IF(Calculation!E16=Calculation!$A$142,Calculation!H16,"")</f>
        <v>100</v>
      </c>
      <c r="I16" s="55"/>
    </row>
    <row r="17">
      <c r="A17" s="52" t="str">
        <f>IF(Calculation!E17=Calculation!$A$142,Calculation!B17,"")</f>
        <v/>
      </c>
      <c r="B17" s="53" t="str">
        <f>IF(Calculation!E17=Calculation!$A$142,Calculation!I17,"")</f>
        <v/>
      </c>
      <c r="C17" s="52" t="str">
        <f>IF(Calculation!E17=Calculation!$A$142,Calculation!D17,"")</f>
        <v/>
      </c>
      <c r="D17" s="52" t="str">
        <f>IF(Calculation!E17=Calculation!$A$142,Calculation!$A$16,"")</f>
        <v/>
      </c>
      <c r="E17" s="52" t="str">
        <f>IF(Calculation!E17=Calculation!$A$142,Calculation!C17,"")</f>
        <v/>
      </c>
      <c r="F17" s="52" t="str">
        <f>IF(Calculation!E17=Calculation!$A$142,Calculation!F17,"")</f>
        <v/>
      </c>
      <c r="G17" s="54" t="str">
        <f>IF(Calculation!E17=Calculation!$A$142,Calculation!G17,"")</f>
        <v/>
      </c>
      <c r="H17" s="54" t="str">
        <f>IF(Calculation!E17=Calculation!$A$142,Calculation!H17,"")</f>
        <v/>
      </c>
      <c r="I17" s="55"/>
    </row>
    <row r="18">
      <c r="A18" s="52" t="str">
        <f>IF(Calculation!E18=Calculation!$A$142,Calculation!B18,"")</f>
        <v/>
      </c>
      <c r="B18" s="53" t="str">
        <f>IF(Calculation!E18=Calculation!$A$142,Calculation!I18,"")</f>
        <v/>
      </c>
      <c r="C18" s="52" t="str">
        <f>IF(Calculation!E18=Calculation!$A$142,Calculation!D18,"")</f>
        <v/>
      </c>
      <c r="D18" s="52" t="str">
        <f>IF(Calculation!E18=Calculation!$A$142,Calculation!$A$16,"")</f>
        <v/>
      </c>
      <c r="E18" s="52" t="str">
        <f>IF(Calculation!E18=Calculation!$A$142,Calculation!C18,"")</f>
        <v/>
      </c>
      <c r="F18" s="52" t="str">
        <f>IF(Calculation!E18=Calculation!$A$142,Calculation!F18,"")</f>
        <v/>
      </c>
      <c r="G18" s="54" t="str">
        <f>IF(Calculation!E18=Calculation!$A$142,Calculation!G18,"")</f>
        <v/>
      </c>
      <c r="H18" s="54" t="str">
        <f>IF(Calculation!E18=Calculation!$A$142,Calculation!H18,"")</f>
        <v/>
      </c>
      <c r="I18" s="55"/>
    </row>
    <row r="19" ht="23.25" customHeight="1">
      <c r="A19" s="52" t="str">
        <f>IF(Calculation!E19=Calculation!$A$142,Calculation!B19,"")</f>
        <v/>
      </c>
      <c r="B19" s="53" t="str">
        <f>IF(Calculation!E19=Calculation!$A$142,Calculation!I19,"")</f>
        <v/>
      </c>
      <c r="C19" s="52" t="str">
        <f>IF(Calculation!E19=Calculation!$A$142,Calculation!D19,"")</f>
        <v/>
      </c>
      <c r="D19" s="52" t="str">
        <f>IF(Calculation!E19=Calculation!$A$142,Calculation!$A$16,"")</f>
        <v/>
      </c>
      <c r="E19" s="52" t="str">
        <f>IF(Calculation!E19=Calculation!$A$142,Calculation!C19,"")</f>
        <v/>
      </c>
      <c r="F19" s="52" t="str">
        <f>IF(Calculation!E19=Calculation!$A$142,Calculation!F19,"")</f>
        <v/>
      </c>
      <c r="G19" s="54" t="str">
        <f>IF(Calculation!E19=Calculation!$A$142,Calculation!G19,"")</f>
        <v/>
      </c>
      <c r="H19" s="54" t="str">
        <f>IF(Calculation!E19=Calculation!$A$142,Calculation!H19,"")</f>
        <v/>
      </c>
      <c r="I19" s="55"/>
    </row>
    <row r="20" ht="18.0" customHeight="1">
      <c r="A20" s="52" t="str">
        <f>IF(Calculation!E20=Calculation!$A$142,Calculation!B20,"")</f>
        <v/>
      </c>
      <c r="B20" s="53" t="str">
        <f>IF(Calculation!E20=Calculation!$A$142,Calculation!I20,"")</f>
        <v/>
      </c>
      <c r="C20" s="52" t="str">
        <f>IF(Calculation!E20=Calculation!$A$142,Calculation!D20,"")</f>
        <v/>
      </c>
      <c r="D20" s="52" t="str">
        <f>IF(Calculation!E20=Calculation!$A$142,Calculation!$A$16,"")</f>
        <v/>
      </c>
      <c r="E20" s="52" t="str">
        <f>IF(Calculation!E20=Calculation!$A$142,Calculation!C20,"")</f>
        <v/>
      </c>
      <c r="F20" s="52" t="str">
        <f>IF(Calculation!E20=Calculation!$A$142,Calculation!F20,"")</f>
        <v/>
      </c>
      <c r="G20" s="54" t="str">
        <f>IF(Calculation!E20=Calculation!$A$142,Calculation!G20,"")</f>
        <v/>
      </c>
      <c r="H20" s="54" t="str">
        <f>IF(Calculation!E20=Calculation!$A$142,Calculation!H20,"")</f>
        <v/>
      </c>
      <c r="I20" s="55"/>
    </row>
    <row r="21" ht="21.0" customHeight="1">
      <c r="A21" s="52" t="str">
        <f>IF(Calculation!E21=Calculation!$A$142,Calculation!B21,"")</f>
        <v/>
      </c>
      <c r="B21" s="53" t="str">
        <f>IF(Calculation!E21=Calculation!$A$142,Calculation!I21,"")</f>
        <v/>
      </c>
      <c r="C21" s="52" t="str">
        <f>IF(Calculation!E21=Calculation!$A$142,Calculation!D21,"")</f>
        <v/>
      </c>
      <c r="D21" s="52" t="str">
        <f>IF(Calculation!E21=Calculation!$A$142,Calculation!$A$16,"")</f>
        <v/>
      </c>
      <c r="E21" s="52" t="str">
        <f>IF(Calculation!E21=Calculation!$A$142,Calculation!C21,"")</f>
        <v/>
      </c>
      <c r="F21" s="52" t="str">
        <f>IF(Calculation!E21=Calculation!$A$142,Calculation!F21,"")</f>
        <v/>
      </c>
      <c r="G21" s="54" t="str">
        <f>IF(Calculation!E21=Calculation!$A$142,Calculation!G21,"")</f>
        <v/>
      </c>
      <c r="H21" s="54" t="str">
        <f>IF(Calculation!E21=Calculation!$A$142,Calculation!H21,"")</f>
        <v/>
      </c>
      <c r="I21" s="55"/>
    </row>
    <row r="22" ht="21.0" customHeight="1">
      <c r="A22" s="52" t="str">
        <f>IF(Calculation!E22=Calculation!$A$142,Calculation!B22,"")</f>
        <v/>
      </c>
      <c r="B22" s="53" t="str">
        <f>IF(Calculation!E22=Calculation!$A$142,Calculation!I22,"")</f>
        <v/>
      </c>
      <c r="C22" s="52" t="str">
        <f>IF(Calculation!E22=Calculation!$A$142,Calculation!D22,"")</f>
        <v/>
      </c>
      <c r="D22" s="52" t="str">
        <f>IF(Calculation!E22=Calculation!$A$142,Calculation!$A$16,"")</f>
        <v/>
      </c>
      <c r="E22" s="52" t="str">
        <f>IF(Calculation!E22=Calculation!$A$142,Calculation!C22,"")</f>
        <v/>
      </c>
      <c r="F22" s="52" t="str">
        <f>IF(Calculation!E22=Calculation!$A$142,Calculation!F22,"")</f>
        <v/>
      </c>
      <c r="G22" s="54" t="str">
        <f>IF(Calculation!E22=Calculation!$A$142,Calculation!G22,"")</f>
        <v/>
      </c>
      <c r="H22" s="54" t="str">
        <f>IF(Calculation!E22=Calculation!$A$142,Calculation!H22,"")</f>
        <v/>
      </c>
      <c r="I22" s="55"/>
    </row>
    <row r="23" ht="20.25" customHeight="1">
      <c r="A23" s="52" t="str">
        <f>IF(Calculation!E23=Calculation!$A$142,Calculation!B23,"")</f>
        <v/>
      </c>
      <c r="B23" s="53" t="str">
        <f>IF(Calculation!E23=Calculation!$A$142,Calculation!I23,"")</f>
        <v/>
      </c>
      <c r="C23" s="52" t="str">
        <f>IF(Calculation!E23=Calculation!$A$142,Calculation!D23,"")</f>
        <v/>
      </c>
      <c r="D23" s="52" t="str">
        <f>IF(Calculation!E23=Calculation!$A$142,Calculation!$A$16,"")</f>
        <v/>
      </c>
      <c r="E23" s="52" t="str">
        <f>IF(Calculation!E23=Calculation!$A$142,Calculation!C23,"")</f>
        <v/>
      </c>
      <c r="F23" s="52" t="str">
        <f>IF(Calculation!E23=Calculation!$A$142,Calculation!F23,"")</f>
        <v/>
      </c>
      <c r="G23" s="54" t="str">
        <f>IF(Calculation!E23=Calculation!$A$142,Calculation!G23,"")</f>
        <v/>
      </c>
      <c r="H23" s="54" t="str">
        <f>IF(Calculation!E23=Calculation!$A$142,Calculation!H23,"")</f>
        <v/>
      </c>
      <c r="I23" s="55"/>
    </row>
    <row r="24">
      <c r="A24" s="52" t="str">
        <f>IF(Calculation!E24=Calculation!$A$142,Calculation!B24,"")</f>
        <v/>
      </c>
      <c r="B24" s="53" t="str">
        <f>IF(Calculation!E24=Calculation!$A$142,Calculation!I24,"")</f>
        <v/>
      </c>
      <c r="C24" s="52" t="str">
        <f>IF(Calculation!E24=Calculation!$A$142,Calculation!D24,"")</f>
        <v/>
      </c>
      <c r="D24" s="52" t="str">
        <f>IF(Calculation!E24=Calculation!$A$142,Calculation!$A$16,"")</f>
        <v/>
      </c>
      <c r="E24" s="52" t="str">
        <f>IF(Calculation!E24=Calculation!$A$142,Calculation!C24,"")</f>
        <v/>
      </c>
      <c r="F24" s="52" t="str">
        <f>IF(Calculation!E24=Calculation!$A$142,Calculation!F24,"")</f>
        <v/>
      </c>
      <c r="G24" s="54" t="str">
        <f>IF(Calculation!E24=Calculation!$A$142,Calculation!G24,"")</f>
        <v/>
      </c>
      <c r="H24" s="54" t="str">
        <f>IF(Calculation!E24=Calculation!$A$142,Calculation!H24,"")</f>
        <v/>
      </c>
      <c r="I24" s="55"/>
    </row>
    <row r="25">
      <c r="A25" s="52" t="str">
        <f>IF(Calculation!E25=Calculation!$A$142,Calculation!B25,"")</f>
        <v/>
      </c>
      <c r="B25" s="53" t="str">
        <f>IF(Calculation!E25=Calculation!$A$142,Calculation!I25,"")</f>
        <v/>
      </c>
      <c r="C25" s="52" t="str">
        <f>IF(Calculation!E25=Calculation!$A$142,Calculation!D25,"")</f>
        <v/>
      </c>
      <c r="D25" s="52" t="str">
        <f>IF(Calculation!E25=Calculation!$A$142,Calculation!$A$16,"")</f>
        <v/>
      </c>
      <c r="E25" s="52" t="str">
        <f>IF(Calculation!E25=Calculation!$A$142,Calculation!C25,"")</f>
        <v/>
      </c>
      <c r="F25" s="52" t="str">
        <f>IF(Calculation!E25=Calculation!$A$142,Calculation!F25,"")</f>
        <v/>
      </c>
      <c r="G25" s="54" t="str">
        <f>IF(Calculation!E25=Calculation!$A$142,Calculation!G25,"")</f>
        <v/>
      </c>
      <c r="H25" s="54" t="str">
        <f>IF(Calculation!E25=Calculation!$A$142,Calculation!H25,"")</f>
        <v/>
      </c>
      <c r="I25" s="55"/>
    </row>
    <row r="26">
      <c r="A26" s="52" t="str">
        <f>IF(Calculation!E26=Calculation!$A$142,Calculation!B26,"")</f>
        <v/>
      </c>
      <c r="B26" s="53" t="str">
        <f>IF(Calculation!E26=Calculation!$A$142,Calculation!I26,"")</f>
        <v/>
      </c>
      <c r="C26" s="52" t="str">
        <f>IF(Calculation!E26=Calculation!$A$142,Calculation!D26,"")</f>
        <v/>
      </c>
      <c r="D26" s="52" t="str">
        <f>IF(Calculation!E26=Calculation!$A$142,Calculation!$A$16,"")</f>
        <v/>
      </c>
      <c r="E26" s="52" t="str">
        <f>IF(Calculation!E26=Calculation!$A$142,Calculation!C26,"")</f>
        <v/>
      </c>
      <c r="F26" s="52" t="str">
        <f>IF(Calculation!E26=Calculation!$A$142,Calculation!F26,"")</f>
        <v/>
      </c>
      <c r="G26" s="54" t="str">
        <f>IF(Calculation!E26=Calculation!$A$142,Calculation!G26,"")</f>
        <v/>
      </c>
      <c r="H26" s="54" t="str">
        <f>IF(Calculation!E26=Calculation!$A$142,Calculation!H26,"")</f>
        <v/>
      </c>
      <c r="I26" s="55"/>
    </row>
    <row r="27">
      <c r="A27" s="52" t="str">
        <f>IF(Calculation!E27=Calculation!$A$142,Calculation!B27,"")</f>
        <v/>
      </c>
      <c r="B27" s="53" t="str">
        <f>IF(Calculation!E27=Calculation!$A$142,Calculation!I27,"")</f>
        <v/>
      </c>
      <c r="C27" s="52" t="str">
        <f>IF(Calculation!E27=Calculation!$A$142,Calculation!D27,"")</f>
        <v/>
      </c>
      <c r="D27" s="52" t="str">
        <f>IF(Calculation!E27=Calculation!$A$142,Calculation!$A$16,"")</f>
        <v/>
      </c>
      <c r="E27" s="52" t="str">
        <f>IF(Calculation!E27=Calculation!$A$142,Calculation!C27,"")</f>
        <v/>
      </c>
      <c r="F27" s="52" t="str">
        <f>IF(Calculation!E27=Calculation!$A$142,Calculation!F27,"")</f>
        <v/>
      </c>
      <c r="G27" s="54" t="str">
        <f>IF(Calculation!E27=Calculation!$A$142,Calculation!G27,"")</f>
        <v/>
      </c>
      <c r="H27" s="54" t="str">
        <f>IF(Calculation!E27=Calculation!$A$142,Calculation!H27,"")</f>
        <v/>
      </c>
      <c r="I27" s="55"/>
    </row>
    <row r="28">
      <c r="A28" s="52" t="str">
        <f>IF(Calculation!E28=Calculation!$A$142,Calculation!B28,"")</f>
        <v/>
      </c>
      <c r="B28" s="53" t="str">
        <f>IF(Calculation!E28=Calculation!$A$142,Calculation!I28,"")</f>
        <v/>
      </c>
      <c r="C28" s="52" t="str">
        <f>IF(Calculation!E28=Calculation!$A$142,Calculation!D28,"")</f>
        <v/>
      </c>
      <c r="D28" s="52" t="str">
        <f>IF(Calculation!E28=Calculation!$A$142,Calculation!$A$16,"")</f>
        <v/>
      </c>
      <c r="E28" s="52" t="str">
        <f>IF(Calculation!E28=Calculation!$A$142,Calculation!C28,"")</f>
        <v/>
      </c>
      <c r="F28" s="52" t="str">
        <f>IF(Calculation!E28=Calculation!$A$142,Calculation!F28,"")</f>
        <v/>
      </c>
      <c r="G28" s="54" t="str">
        <f>IF(Calculation!E28=Calculation!$A$142,Calculation!G28,"")</f>
        <v/>
      </c>
      <c r="H28" s="54" t="str">
        <f>IF(Calculation!E28=Calculation!$A$142,Calculation!H28,"")</f>
        <v/>
      </c>
      <c r="I28" s="55"/>
    </row>
    <row r="29">
      <c r="A29" s="57" t="str">
        <f>IF(Calculation!E29=Calculation!$A$142,Calculation!B29,"")</f>
        <v/>
      </c>
      <c r="B29" s="53" t="str">
        <f>IF(Calculation!E29=Calculation!$A$142,Calculation!I29,"")</f>
        <v/>
      </c>
      <c r="C29" s="52" t="str">
        <f>IF(Calculation!E29=Calculation!$A$142,Calculation!D29,"")</f>
        <v>Vishnu Kalpamangalam</v>
      </c>
      <c r="D29" s="52" t="str">
        <f>IF(Calculation!E29=Calculation!$A$142,Calculation!$A$29,"")</f>
        <v>Prince Tyres</v>
      </c>
      <c r="E29" s="52" t="str">
        <f>IF(Calculation!E29=Calculation!$A$142,Calculation!C29,"")</f>
        <v>Short video design</v>
      </c>
      <c r="F29" s="52">
        <f>IF(Calculation!E29=Calculation!$A$142,Calculation!F29,"")</f>
        <v>2</v>
      </c>
      <c r="G29" s="54">
        <f>IF(Calculation!E29=Calculation!$A$142,Calculation!G29,"")</f>
        <v>200</v>
      </c>
      <c r="H29" s="54">
        <f>IF(Calculation!E29=Calculation!$A$142,Calculation!H29,"")</f>
        <v>400</v>
      </c>
      <c r="I29" s="55"/>
    </row>
    <row r="30">
      <c r="A30" s="52" t="str">
        <f>IF(Calculation!E30=Calculation!$A$142,Calculation!B30,"")</f>
        <v/>
      </c>
      <c r="B30" s="53" t="str">
        <f>IF(Calculation!E30=Calculation!$A$142,Calculation!I30,"")</f>
        <v/>
      </c>
      <c r="C30" s="52" t="str">
        <f>IF(Calculation!E30=Calculation!$A$142,Calculation!D30,"")</f>
        <v/>
      </c>
      <c r="D30" s="52" t="str">
        <f>IF(Calculation!E30=Calculation!$A$142,Calculation!$A$29,"")</f>
        <v/>
      </c>
      <c r="E30" s="52" t="str">
        <f>IF(Calculation!E30=Calculation!$A$142,Calculation!C30,"")</f>
        <v/>
      </c>
      <c r="F30" s="52" t="str">
        <f>IF(Calculation!E30=Calculation!$A$142,Calculation!F30,"")</f>
        <v/>
      </c>
      <c r="G30" s="54" t="str">
        <f>IF(Calculation!E30=Calculation!$A$142,Calculation!G30,"")</f>
        <v/>
      </c>
      <c r="H30" s="54" t="str">
        <f>IF(Calculation!E30=Calculation!$A$142,Calculation!H30,"")</f>
        <v/>
      </c>
      <c r="I30" s="55"/>
    </row>
    <row r="31">
      <c r="A31" s="52" t="str">
        <f>IF(Calculation!E31=Calculation!$A$142,Calculation!B31,"")</f>
        <v/>
      </c>
      <c r="B31" s="53" t="str">
        <f>IF(Calculation!E31=Calculation!$A$142,Calculation!I31,"")</f>
        <v/>
      </c>
      <c r="C31" s="52" t="str">
        <f>IF(Calculation!E31=Calculation!$A$142,Calculation!D31,"")</f>
        <v/>
      </c>
      <c r="D31" s="52" t="str">
        <f>IF(Calculation!E31=Calculation!$A$142,Calculation!$A$29,"")</f>
        <v/>
      </c>
      <c r="E31" s="52" t="str">
        <f>IF(Calculation!E31=Calculation!$A$142,Calculation!C31,"")</f>
        <v/>
      </c>
      <c r="F31" s="52" t="str">
        <f>IF(Calculation!E31=Calculation!$A$142,Calculation!F31,"")</f>
        <v/>
      </c>
      <c r="G31" s="54" t="str">
        <f>IF(Calculation!E31=Calculation!$A$142,Calculation!G31,"")</f>
        <v/>
      </c>
      <c r="H31" s="54" t="str">
        <f>IF(Calculation!E31=Calculation!$A$142,Calculation!H31,"")</f>
        <v/>
      </c>
      <c r="I31" s="55"/>
    </row>
    <row r="32">
      <c r="A32" s="52" t="str">
        <f>IF(Calculation!E32=Calculation!$A$142,Calculation!B32,"")</f>
        <v/>
      </c>
      <c r="B32" s="53" t="str">
        <f>IF(Calculation!E32=Calculation!$A$142,Calculation!I32,"")</f>
        <v/>
      </c>
      <c r="C32" s="52" t="str">
        <f>IF(Calculation!E32=Calculation!$A$142,Calculation!D32,"")</f>
        <v/>
      </c>
      <c r="D32" s="52" t="str">
        <f>IF(Calculation!E32=Calculation!$A$142,Calculation!$A$29,"")</f>
        <v/>
      </c>
      <c r="E32" s="52" t="str">
        <f>IF(Calculation!E32=Calculation!$A$142,Calculation!C32,"")</f>
        <v/>
      </c>
      <c r="F32" s="52" t="str">
        <f>IF(Calculation!E32=Calculation!$A$142,Calculation!F32,"")</f>
        <v/>
      </c>
      <c r="G32" s="54" t="str">
        <f>IF(Calculation!E32=Calculation!$A$142,Calculation!G32,"")</f>
        <v/>
      </c>
      <c r="H32" s="54" t="str">
        <f>IF(Calculation!E32=Calculation!$A$142,Calculation!H32,"")</f>
        <v/>
      </c>
      <c r="I32" s="55"/>
    </row>
    <row r="33">
      <c r="A33" s="52" t="str">
        <f>IF(Calculation!E33=Calculation!$A$142,Calculation!B33,"")</f>
        <v/>
      </c>
      <c r="B33" s="53" t="str">
        <f>IF(Calculation!E33=Calculation!$A$142,Calculation!I33,"")</f>
        <v/>
      </c>
      <c r="C33" s="52" t="str">
        <f>IF(Calculation!E33=Calculation!$A$142,Calculation!D33,"")</f>
        <v/>
      </c>
      <c r="D33" s="52" t="str">
        <f>IF(Calculation!E33=Calculation!$A$142,Calculation!$A$29,"")</f>
        <v/>
      </c>
      <c r="E33" s="52" t="str">
        <f>IF(Calculation!E33=Calculation!$A$142,Calculation!C33,"")</f>
        <v/>
      </c>
      <c r="F33" s="52" t="str">
        <f>IF(Calculation!E33=Calculation!$A$142,Calculation!F33,"")</f>
        <v/>
      </c>
      <c r="G33" s="54" t="str">
        <f>IF(Calculation!E33=Calculation!$A$142,Calculation!G33,"")</f>
        <v/>
      </c>
      <c r="H33" s="54" t="str">
        <f>IF(Calculation!E33=Calculation!$A$142,Calculation!H33,"")</f>
        <v/>
      </c>
      <c r="I33" s="55"/>
    </row>
    <row r="34">
      <c r="A34" s="52" t="str">
        <f>IF(Calculation!E34=Calculation!$A$142,Calculation!B34,"")</f>
        <v/>
      </c>
      <c r="B34" s="53" t="str">
        <f>IF(Calculation!E34=Calculation!$A$142,Calculation!I34,"")</f>
        <v/>
      </c>
      <c r="C34" s="52" t="str">
        <f>IF(Calculation!E34=Calculation!$A$142,Calculation!D34,"")</f>
        <v/>
      </c>
      <c r="D34" s="52" t="str">
        <f>IF(Calculation!E34=Calculation!$A$142,Calculation!$A$29,"")</f>
        <v/>
      </c>
      <c r="E34" s="52" t="str">
        <f>IF(Calculation!E34=Calculation!$A$142,Calculation!C34,"")</f>
        <v/>
      </c>
      <c r="F34" s="52" t="str">
        <f>IF(Calculation!E34=Calculation!$A$142,Calculation!F34,"")</f>
        <v/>
      </c>
      <c r="G34" s="54" t="str">
        <f>IF(Calculation!E34=Calculation!$A$142,Calculation!G34,"")</f>
        <v/>
      </c>
      <c r="H34" s="54" t="str">
        <f>IF(Calculation!E34=Calculation!$A$142,Calculation!H34,"")</f>
        <v/>
      </c>
      <c r="I34" s="55"/>
    </row>
    <row r="35">
      <c r="A35" s="52" t="str">
        <f>IF(Calculation!E35=Calculation!$A$142,Calculation!B35,"")</f>
        <v/>
      </c>
      <c r="B35" s="53" t="str">
        <f>IF(Calculation!E35=Calculation!$A$142,Calculation!I35,"")</f>
        <v/>
      </c>
      <c r="C35" s="52" t="str">
        <f>IF(Calculation!E35=Calculation!$A$142,Calculation!D35,"")</f>
        <v/>
      </c>
      <c r="D35" s="52" t="str">
        <f>IF(Calculation!E35=Calculation!$A$142,Calculation!$A$29,"")</f>
        <v/>
      </c>
      <c r="E35" s="52" t="str">
        <f>IF(Calculation!E35=Calculation!$A$142,Calculation!C35,"")</f>
        <v/>
      </c>
      <c r="F35" s="52" t="str">
        <f>IF(Calculation!E35=Calculation!$A$142,Calculation!F35,"")</f>
        <v/>
      </c>
      <c r="G35" s="54" t="str">
        <f>IF(Calculation!E35=Calculation!$A$142,Calculation!G35,"")</f>
        <v/>
      </c>
      <c r="H35" s="54" t="str">
        <f>IF(Calculation!E35=Calculation!$A$142,Calculation!H35,"")</f>
        <v/>
      </c>
      <c r="I35" s="55"/>
    </row>
    <row r="36">
      <c r="A36" s="52" t="str">
        <f>IF(Calculation!E36=Calculation!$A$142,Calculation!B36,"")</f>
        <v/>
      </c>
      <c r="B36" s="53" t="str">
        <f>IF(Calculation!E36=Calculation!$A$142,Calculation!I36,"")</f>
        <v/>
      </c>
      <c r="C36" s="52" t="str">
        <f>IF(Calculation!E36=Calculation!$A$142,Calculation!D36,"")</f>
        <v/>
      </c>
      <c r="D36" s="52" t="str">
        <f>IF(Calculation!E36=Calculation!$A$142,Calculation!$A$29,"")</f>
        <v/>
      </c>
      <c r="E36" s="52" t="str">
        <f>IF(Calculation!E36=Calculation!$A$142,Calculation!C36,"")</f>
        <v/>
      </c>
      <c r="F36" s="52" t="str">
        <f>IF(Calculation!E36=Calculation!$A$142,Calculation!F36,"")</f>
        <v/>
      </c>
      <c r="G36" s="54" t="str">
        <f>IF(Calculation!E36=Calculation!$A$142,Calculation!G36,"")</f>
        <v/>
      </c>
      <c r="H36" s="54" t="str">
        <f>IF(Calculation!E36=Calculation!$A$142,Calculation!H36,"")</f>
        <v/>
      </c>
      <c r="I36" s="55"/>
    </row>
    <row r="37">
      <c r="A37" s="52" t="str">
        <f>IF(Calculation!E37=Calculation!$A$142,Calculation!B37,"")</f>
        <v/>
      </c>
      <c r="B37" s="53" t="str">
        <f>IF(Calculation!E37=Calculation!$A$142,Calculation!I37,"")</f>
        <v/>
      </c>
      <c r="C37" s="52" t="str">
        <f>IF(Calculation!E37=Calculation!$A$142,Calculation!D37,"")</f>
        <v/>
      </c>
      <c r="D37" s="52" t="str">
        <f>IF(Calculation!E37=Calculation!$A$142,Calculation!$A$29,"")</f>
        <v/>
      </c>
      <c r="E37" s="52" t="str">
        <f>IF(Calculation!E37=Calculation!$A$142,Calculation!C37,"")</f>
        <v/>
      </c>
      <c r="F37" s="52" t="str">
        <f>IF(Calculation!E37=Calculation!$A$142,Calculation!F37,"")</f>
        <v/>
      </c>
      <c r="G37" s="54" t="str">
        <f>IF(Calculation!E37=Calculation!$A$142,Calculation!G37,"")</f>
        <v/>
      </c>
      <c r="H37" s="54" t="str">
        <f>IF(Calculation!E37=Calculation!$A$142,Calculation!H37,"")</f>
        <v/>
      </c>
      <c r="I37" s="55"/>
    </row>
    <row r="38">
      <c r="A38" s="52" t="str">
        <f>IF(Calculation!E38=Calculation!$A$142,Calculation!B38,"")</f>
        <v/>
      </c>
      <c r="B38" s="53" t="str">
        <f>IF(Calculation!E38=Calculation!$A$142,Calculation!I38,"")</f>
        <v/>
      </c>
      <c r="C38" s="52" t="str">
        <f>IF(Calculation!E38=Calculation!$A$142,Calculation!D38,"")</f>
        <v/>
      </c>
      <c r="D38" s="52" t="str">
        <f>IF(Calculation!E38=Calculation!$A$142,Calculation!$A$29,"")</f>
        <v/>
      </c>
      <c r="E38" s="52" t="str">
        <f>IF(Calculation!E38=Calculation!$A$142,Calculation!C38,"")</f>
        <v/>
      </c>
      <c r="F38" s="52" t="str">
        <f>IF(Calculation!E38=Calculation!$A$142,Calculation!F38,"")</f>
        <v/>
      </c>
      <c r="G38" s="54" t="str">
        <f>IF(Calculation!E38=Calculation!$A$142,Calculation!G38,"")</f>
        <v/>
      </c>
      <c r="H38" s="54" t="str">
        <f>IF(Calculation!E38=Calculation!$A$142,Calculation!H38,"")</f>
        <v/>
      </c>
      <c r="I38" s="55"/>
    </row>
    <row r="39">
      <c r="A39" s="52" t="str">
        <f>IF(Calculation!E39=Calculation!$A$142,Calculation!B39,"")</f>
        <v/>
      </c>
      <c r="B39" s="53" t="str">
        <f>IF(Calculation!E39=Calculation!$A$142,Calculation!I39,"")</f>
        <v/>
      </c>
      <c r="C39" s="52" t="str">
        <f>IF(Calculation!E39=Calculation!$A$142,Calculation!D39,"")</f>
        <v/>
      </c>
      <c r="D39" s="52" t="str">
        <f>IF(Calculation!E39=Calculation!$A$142,Calculation!$A$29,"")</f>
        <v/>
      </c>
      <c r="E39" s="52" t="str">
        <f>IF(Calculation!E39=Calculation!$A$142,Calculation!C39,"")</f>
        <v/>
      </c>
      <c r="F39" s="52" t="str">
        <f>IF(Calculation!E39=Calculation!$A$142,Calculation!F39,"")</f>
        <v/>
      </c>
      <c r="G39" s="54" t="str">
        <f>IF(Calculation!E39=Calculation!$A$142,Calculation!G39,"")</f>
        <v/>
      </c>
      <c r="H39" s="54" t="str">
        <f>IF(Calculation!E39=Calculation!$A$142,Calculation!H39,"")</f>
        <v/>
      </c>
      <c r="I39" s="55"/>
    </row>
    <row r="40">
      <c r="A40" s="52" t="str">
        <f>IF(Calculation!E40=Calculation!$A$142,Calculation!B40,"")</f>
        <v/>
      </c>
      <c r="B40" s="53" t="str">
        <f>IF(Calculation!E40=Calculation!$A$142,Calculation!I40,"")</f>
        <v/>
      </c>
      <c r="C40" s="52" t="str">
        <f>IF(Calculation!E40=Calculation!$A$142,Calculation!D40,"")</f>
        <v/>
      </c>
      <c r="D40" s="52" t="str">
        <f>IF(Calculation!E40=Calculation!$A$142,Calculation!$A$29,"")</f>
        <v/>
      </c>
      <c r="E40" s="52" t="str">
        <f>IF(Calculation!E40=Calculation!$A$142,Calculation!C40,"")</f>
        <v/>
      </c>
      <c r="F40" s="52" t="str">
        <f>IF(Calculation!E40=Calculation!$A$142,Calculation!F40,"")</f>
        <v/>
      </c>
      <c r="G40" s="54" t="str">
        <f>IF(Calculation!E40=Calculation!$A$142,Calculation!G40,"")</f>
        <v/>
      </c>
      <c r="H40" s="54" t="str">
        <f>IF(Calculation!E40=Calculation!$A$142,Calculation!H40,"")</f>
        <v/>
      </c>
      <c r="I40" s="55"/>
    </row>
    <row r="41">
      <c r="A41" s="52" t="str">
        <f>IF(Calculation!E41=Calculation!$A$142,Calculation!B41,"")</f>
        <v/>
      </c>
      <c r="B41" s="53" t="str">
        <f>IF(Calculation!E41=Calculation!$A$142,Calculation!I41,"")</f>
        <v/>
      </c>
      <c r="C41" s="52" t="str">
        <f>IF(Calculation!E41=Calculation!$A$142,Calculation!D41,"")</f>
        <v/>
      </c>
      <c r="D41" s="52" t="str">
        <f>IF(Calculation!E41=Calculation!$A$142,Calculation!$A$41,"")</f>
        <v/>
      </c>
      <c r="E41" s="52" t="str">
        <f>IF(Calculation!E41=Calculation!$A$142,Calculation!C41,"")</f>
        <v/>
      </c>
      <c r="F41" s="52" t="str">
        <f>IF(Calculation!E41=Calculation!$A$142,Calculation!F41,"")</f>
        <v/>
      </c>
      <c r="G41" s="54" t="str">
        <f>IF(Calculation!E41=Calculation!$A$142,Calculation!G41,"")</f>
        <v/>
      </c>
      <c r="H41" s="54" t="str">
        <f>IF(Calculation!E41=Calculation!$A$142,Calculation!H41,"")</f>
        <v/>
      </c>
      <c r="I41" s="55"/>
    </row>
    <row r="42">
      <c r="A42" s="52" t="str">
        <f>IF(Calculation!E42=Calculation!$A$142,Calculation!B42,"")</f>
        <v/>
      </c>
      <c r="B42" s="53" t="str">
        <f>IF(Calculation!E42=Calculation!$A$142,Calculation!I42,"")</f>
        <v/>
      </c>
      <c r="C42" s="52" t="str">
        <f>IF(Calculation!E42=Calculation!$A$142,Calculation!D42,"")</f>
        <v/>
      </c>
      <c r="D42" s="52" t="str">
        <f>IF(Calculation!E42=Calculation!$A$142,Calculation!$A$41,"")</f>
        <v/>
      </c>
      <c r="E42" s="52" t="str">
        <f>IF(Calculation!E42=Calculation!$A$142,Calculation!C42,"")</f>
        <v/>
      </c>
      <c r="F42" s="52" t="str">
        <f>IF(Calculation!E42=Calculation!$A$142,Calculation!F42,"")</f>
        <v/>
      </c>
      <c r="G42" s="54" t="str">
        <f>IF(Calculation!E42=Calculation!$A$142,Calculation!G42,"")</f>
        <v/>
      </c>
      <c r="H42" s="54" t="str">
        <f>IF(Calculation!E42=Calculation!$A$142,Calculation!H42,"")</f>
        <v/>
      </c>
      <c r="I42" s="55"/>
    </row>
    <row r="43">
      <c r="A43" s="52" t="str">
        <f>IF(Calculation!E43=Calculation!$A$142,Calculation!B43,"")</f>
        <v/>
      </c>
      <c r="B43" s="53" t="str">
        <f>IF(Calculation!E43=Calculation!$A$142,Calculation!I43,"")</f>
        <v/>
      </c>
      <c r="C43" s="52" t="str">
        <f>IF(Calculation!E43=Calculation!$A$142,Calculation!D43,"")</f>
        <v/>
      </c>
      <c r="D43" s="52" t="str">
        <f>IF(Calculation!E43=Calculation!$A$142,Calculation!$A$41,"")</f>
        <v/>
      </c>
      <c r="E43" s="52" t="str">
        <f>IF(Calculation!E43=Calculation!$A$142,Calculation!C43,"")</f>
        <v/>
      </c>
      <c r="F43" s="52" t="str">
        <f>IF(Calculation!E43=Calculation!$A$142,Calculation!F43,"")</f>
        <v/>
      </c>
      <c r="G43" s="54" t="str">
        <f>IF(Calculation!E43=Calculation!$A$142,Calculation!G43,"")</f>
        <v/>
      </c>
      <c r="H43" s="54" t="str">
        <f>IF(Calculation!E43=Calculation!$A$142,Calculation!H43,"")</f>
        <v/>
      </c>
      <c r="I43" s="55"/>
    </row>
    <row r="44">
      <c r="A44" s="52" t="str">
        <f>IF(Calculation!E44=Calculation!$A$142,Calculation!B44,"")</f>
        <v/>
      </c>
      <c r="B44" s="53" t="str">
        <f>IF(Calculation!E44=Calculation!$A$142,Calculation!I44,"")</f>
        <v/>
      </c>
      <c r="C44" s="52" t="str">
        <f>IF(Calculation!E44=Calculation!$A$142,Calculation!D44,"")</f>
        <v/>
      </c>
      <c r="D44" s="52" t="str">
        <f>IF(Calculation!E44=Calculation!$A$142,Calculation!$A$41,"")</f>
        <v/>
      </c>
      <c r="E44" s="52" t="str">
        <f>IF(Calculation!E44=Calculation!$A$142,Calculation!C44,"")</f>
        <v/>
      </c>
      <c r="F44" s="52" t="str">
        <f>IF(Calculation!E44=Calculation!$A$142,Calculation!F44,"")</f>
        <v/>
      </c>
      <c r="G44" s="54" t="str">
        <f>IF(Calculation!E44=Calculation!$A$142,Calculation!G44,"")</f>
        <v/>
      </c>
      <c r="H44" s="54" t="str">
        <f>IF(Calculation!E44=Calculation!$A$142,Calculation!H44,"")</f>
        <v/>
      </c>
      <c r="I44" s="55"/>
    </row>
    <row r="45">
      <c r="A45" s="57" t="str">
        <f>IF(Calculation!E45=Calculation!$A$142,Calculation!B45,"")</f>
        <v/>
      </c>
      <c r="B45" s="53" t="str">
        <f>IF(Calculation!E45=Calculation!$A$142,Calculation!I45,"")</f>
        <v/>
      </c>
      <c r="C45" s="52" t="str">
        <f>IF(Calculation!E45=Calculation!$A$142,Calculation!D45,"")</f>
        <v>Nebil Divay</v>
      </c>
      <c r="D45" s="52" t="str">
        <f>IF(Calculation!E45=Calculation!$A$142,Calculation!$A$41,"")</f>
        <v>Sony Tyres</v>
      </c>
      <c r="E45" s="52" t="str">
        <f>IF(Calculation!E45=Calculation!$A$142,Calculation!C45,"")</f>
        <v>Poster Design</v>
      </c>
      <c r="F45" s="52">
        <f>IF(Calculation!E45=Calculation!$A$142,Calculation!F45,"")</f>
        <v>1</v>
      </c>
      <c r="G45" s="54">
        <f>IF(Calculation!E45=Calculation!$A$142,Calculation!G45,"")</f>
        <v>100</v>
      </c>
      <c r="H45" s="54">
        <f>IF(Calculation!E45=Calculation!$A$142,Calculation!H45,"")</f>
        <v>100</v>
      </c>
      <c r="I45" s="55"/>
    </row>
    <row r="46">
      <c r="A46" s="52" t="str">
        <f>IF(Calculation!E46=Calculation!$A$142,Calculation!B46,"")</f>
        <v/>
      </c>
      <c r="B46" s="53" t="str">
        <f>IF(Calculation!E46=Calculation!$A$142,Calculation!I46,"")</f>
        <v/>
      </c>
      <c r="C46" s="52" t="str">
        <f>IF(Calculation!E46=Calculation!$A$142,Calculation!D46,"")</f>
        <v/>
      </c>
      <c r="D46" s="52" t="str">
        <f>IF(Calculation!E46=Calculation!$A$142,Calculation!$A$41,"")</f>
        <v/>
      </c>
      <c r="E46" s="52" t="str">
        <f>IF(Calculation!E46=Calculation!$A$142,Calculation!C46,"")</f>
        <v/>
      </c>
      <c r="F46" s="52" t="str">
        <f>IF(Calculation!E46=Calculation!$A$142,Calculation!F46,"")</f>
        <v/>
      </c>
      <c r="G46" s="54" t="str">
        <f>IF(Calculation!E46=Calculation!$A$142,Calculation!G46,"")</f>
        <v/>
      </c>
      <c r="H46" s="54" t="str">
        <f>IF(Calculation!E46=Calculation!$A$142,Calculation!H46,"")</f>
        <v/>
      </c>
      <c r="I46" s="55"/>
    </row>
    <row r="47">
      <c r="A47" s="52" t="str">
        <f>IF(Calculation!E47=Calculation!$A$142,Calculation!B47,"")</f>
        <v/>
      </c>
      <c r="B47" s="53" t="str">
        <f>IF(Calculation!E47=Calculation!$A$142,Calculation!I47,"")</f>
        <v/>
      </c>
      <c r="C47" s="52" t="str">
        <f>IF(Calculation!E47=Calculation!$A$142,Calculation!D47,"")</f>
        <v/>
      </c>
      <c r="D47" s="52" t="str">
        <f>IF(Calculation!E47=Calculation!$A$142,Calculation!$A$41,"")</f>
        <v/>
      </c>
      <c r="E47" s="52" t="str">
        <f>IF(Calculation!E47=Calculation!$A$142,Calculation!C47,"")</f>
        <v/>
      </c>
      <c r="F47" s="52" t="str">
        <f>IF(Calculation!E47=Calculation!$A$142,Calculation!F47,"")</f>
        <v/>
      </c>
      <c r="G47" s="54" t="str">
        <f>IF(Calculation!E47=Calculation!$A$142,Calculation!G47,"")</f>
        <v/>
      </c>
      <c r="H47" s="54" t="str">
        <f>IF(Calculation!E47=Calculation!$A$142,Calculation!H47,"")</f>
        <v/>
      </c>
      <c r="I47" s="55"/>
    </row>
    <row r="48">
      <c r="A48" s="52" t="str">
        <f>IF(Calculation!E48=Calculation!$A$142,Calculation!B48,"")</f>
        <v/>
      </c>
      <c r="B48" s="53" t="str">
        <f>IF(Calculation!E48=Calculation!$A$142,Calculation!I48,"")</f>
        <v/>
      </c>
      <c r="C48" s="52" t="str">
        <f>IF(Calculation!E48=Calculation!$A$142,Calculation!D48,"")</f>
        <v/>
      </c>
      <c r="D48" s="52" t="str">
        <f>IF(Calculation!E48=Calculation!$A$142,Calculation!$A$41,"")</f>
        <v/>
      </c>
      <c r="E48" s="52" t="str">
        <f>IF(Calculation!E48=Calculation!$A$142,Calculation!C48,"")</f>
        <v/>
      </c>
      <c r="F48" s="52" t="str">
        <f>IF(Calculation!E48=Calculation!$A$142,Calculation!F48,"")</f>
        <v/>
      </c>
      <c r="G48" s="54" t="str">
        <f>IF(Calculation!E48=Calculation!$A$142,Calculation!G48,"")</f>
        <v/>
      </c>
      <c r="H48" s="54" t="str">
        <f>IF(Calculation!E48=Calculation!$A$142,Calculation!H48,"")</f>
        <v/>
      </c>
      <c r="I48" s="55"/>
    </row>
    <row r="49">
      <c r="A49" s="52" t="str">
        <f>IF(Calculation!E49=Calculation!$A$142,Calculation!B49,"")</f>
        <v/>
      </c>
      <c r="B49" s="53" t="str">
        <f>IF(Calculation!E49=Calculation!$A$142,Calculation!I49,"")</f>
        <v/>
      </c>
      <c r="C49" s="52" t="str">
        <f>IF(Calculation!E49=Calculation!$A$142,Calculation!D49,"")</f>
        <v/>
      </c>
      <c r="D49" s="52" t="str">
        <f>IF(Calculation!E49=Calculation!$A$142,Calculation!$A$41,"")</f>
        <v/>
      </c>
      <c r="E49" s="52" t="str">
        <f>IF(Calculation!E49=Calculation!$A$142,Calculation!C49,"")</f>
        <v/>
      </c>
      <c r="F49" s="52" t="str">
        <f>IF(Calculation!E49=Calculation!$A$142,Calculation!F49,"")</f>
        <v/>
      </c>
      <c r="G49" s="54" t="str">
        <f>IF(Calculation!E49=Calculation!$A$142,Calculation!G49,"")</f>
        <v/>
      </c>
      <c r="H49" s="54" t="str">
        <f>IF(Calculation!E49=Calculation!$A$142,Calculation!H49,"")</f>
        <v/>
      </c>
      <c r="I49" s="55"/>
    </row>
    <row r="50">
      <c r="A50" s="52" t="str">
        <f>IF(Calculation!E50=Calculation!$A$142,Calculation!B50,"")</f>
        <v/>
      </c>
      <c r="B50" s="53" t="str">
        <f>IF(Calculation!E50=Calculation!$A$142,Calculation!I50,"")</f>
        <v/>
      </c>
      <c r="C50" s="52" t="str">
        <f>IF(Calculation!E50=Calculation!$A$142,Calculation!D50,"")</f>
        <v/>
      </c>
      <c r="D50" s="52" t="str">
        <f>IF(Calculation!E50=Calculation!$A$142,Calculation!$A$41,"")</f>
        <v/>
      </c>
      <c r="E50" s="52" t="str">
        <f>IF(Calculation!E50=Calculation!$A$142,Calculation!C50,"")</f>
        <v/>
      </c>
      <c r="F50" s="52" t="str">
        <f>IF(Calculation!E50=Calculation!$A$142,Calculation!F50,"")</f>
        <v/>
      </c>
      <c r="G50" s="54" t="str">
        <f>IF(Calculation!E50=Calculation!$A$142,Calculation!G50,"")</f>
        <v/>
      </c>
      <c r="H50" s="54" t="str">
        <f>IF(Calculation!E50=Calculation!$A$142,Calculation!H50,"")</f>
        <v/>
      </c>
      <c r="I50" s="55"/>
    </row>
    <row r="51">
      <c r="A51" s="52" t="str">
        <f>IF(Calculation!E51=Calculation!$A$142,Calculation!B51,"")</f>
        <v/>
      </c>
      <c r="B51" s="53" t="str">
        <f>IF(Calculation!E51=Calculation!$A$142,Calculation!I51,"")</f>
        <v/>
      </c>
      <c r="C51" s="52" t="str">
        <f>IF(Calculation!E51=Calculation!$A$142,Calculation!D51,"")</f>
        <v/>
      </c>
      <c r="D51" s="52" t="str">
        <f>IF(Calculation!E51=Calculation!$A$142,Calculation!$A$41,"")</f>
        <v/>
      </c>
      <c r="E51" s="52" t="str">
        <f>IF(Calculation!E51=Calculation!$A$142,Calculation!C51,"")</f>
        <v/>
      </c>
      <c r="F51" s="52" t="str">
        <f>IF(Calculation!E51=Calculation!$A$142,Calculation!F51,"")</f>
        <v/>
      </c>
      <c r="G51" s="54" t="str">
        <f>IF(Calculation!E51=Calculation!$A$142,Calculation!G51,"")</f>
        <v/>
      </c>
      <c r="H51" s="54" t="str">
        <f>IF(Calculation!E51=Calculation!$A$142,Calculation!H51,"")</f>
        <v/>
      </c>
      <c r="I51" s="55"/>
    </row>
    <row r="52">
      <c r="A52" s="52" t="str">
        <f>IF(Calculation!E52=Calculation!$A$142,Calculation!B52,"")</f>
        <v/>
      </c>
      <c r="B52" s="53" t="str">
        <f>IF(Calculation!E52=Calculation!$A$142,Calculation!I52,"")</f>
        <v/>
      </c>
      <c r="C52" s="52" t="str">
        <f>IF(Calculation!E52=Calculation!$A$142,Calculation!D52,"")</f>
        <v/>
      </c>
      <c r="D52" s="52" t="str">
        <f>IF(Calculation!E52=Calculation!$A$142,Calculation!$A$41,"")</f>
        <v/>
      </c>
      <c r="E52" s="52" t="str">
        <f>IF(Calculation!E52=Calculation!$A$142,Calculation!C52,"")</f>
        <v/>
      </c>
      <c r="F52" s="52" t="str">
        <f>IF(Calculation!E52=Calculation!$A$142,Calculation!F52,"")</f>
        <v/>
      </c>
      <c r="G52" s="54" t="str">
        <f>IF(Calculation!E52=Calculation!$A$142,Calculation!G52,"")</f>
        <v/>
      </c>
      <c r="H52" s="54" t="str">
        <f>IF(Calculation!E52=Calculation!$A$142,Calculation!H52,"")</f>
        <v/>
      </c>
      <c r="I52" s="55"/>
    </row>
    <row r="53">
      <c r="A53" s="52" t="str">
        <f>IF(Calculation!E53=Calculation!$A$142,Calculation!B53,"")</f>
        <v/>
      </c>
      <c r="B53" s="53" t="str">
        <f>IF(Calculation!E53=Calculation!$A$142,Calculation!I53,"")</f>
        <v/>
      </c>
      <c r="C53" s="52" t="str">
        <f>IF(Calculation!E53=Calculation!$A$142,Calculation!D53,"")</f>
        <v/>
      </c>
      <c r="D53" s="52" t="str">
        <f>IF(Calculation!E53=Calculation!$A$142,Calculation!$A$41,"")</f>
        <v/>
      </c>
      <c r="E53" s="52" t="str">
        <f>IF(Calculation!E53=Calculation!$A$142,Calculation!C53,"")</f>
        <v/>
      </c>
      <c r="F53" s="52" t="str">
        <f>IF(Calculation!E53=Calculation!$A$142,Calculation!F53,"")</f>
        <v/>
      </c>
      <c r="G53" s="54" t="str">
        <f>IF(Calculation!E53=Calculation!$A$142,Calculation!G53,"")</f>
        <v/>
      </c>
      <c r="H53" s="54" t="str">
        <f>IF(Calculation!E53=Calculation!$A$142,Calculation!H53,"")</f>
        <v/>
      </c>
      <c r="I53" s="55"/>
    </row>
    <row r="54">
      <c r="A54" s="52" t="str">
        <f>IF(Calculation!E54=Calculation!$A$142,Calculation!B54,"")</f>
        <v/>
      </c>
      <c r="B54" s="53" t="str">
        <f>IF(Calculation!E54=Calculation!$A$142,Calculation!I54,"")</f>
        <v/>
      </c>
      <c r="C54" s="52" t="str">
        <f>IF(Calculation!E54=Calculation!$A$142,Calculation!D54,"")</f>
        <v/>
      </c>
      <c r="D54" s="52" t="str">
        <f>IF(Calculation!E54=Calculation!$A$142,Calculation!$A$54,"")</f>
        <v/>
      </c>
      <c r="E54" s="52" t="str">
        <f>IF(Calculation!E54=Calculation!$A$142,Calculation!C54,"")</f>
        <v/>
      </c>
      <c r="F54" s="52" t="str">
        <f>IF(Calculation!E54=Calculation!$A$142,Calculation!F54,"")</f>
        <v/>
      </c>
      <c r="G54" s="54" t="str">
        <f>IF(Calculation!E54=Calculation!$A$142,Calculation!G54,"")</f>
        <v/>
      </c>
      <c r="H54" s="54" t="str">
        <f>IF(Calculation!E54=Calculation!$A$142,Calculation!H54,"")</f>
        <v/>
      </c>
      <c r="I54" s="55"/>
    </row>
    <row r="55">
      <c r="A55" s="52" t="str">
        <f>IF(Calculation!E55=Calculation!$A$142,Calculation!B55,"")</f>
        <v/>
      </c>
      <c r="B55" s="53" t="str">
        <f>IF(Calculation!E55=Calculation!$A$142,Calculation!I55,"")</f>
        <v/>
      </c>
      <c r="C55" s="52" t="str">
        <f>IF(Calculation!E55=Calculation!$A$142,Calculation!D55,"")</f>
        <v/>
      </c>
      <c r="D55" s="52" t="str">
        <f>IF(Calculation!E55=Calculation!$A$142,Calculation!$A$54,"")</f>
        <v/>
      </c>
      <c r="E55" s="52" t="str">
        <f>IF(Calculation!E55=Calculation!$A$142,Calculation!C55,"")</f>
        <v/>
      </c>
      <c r="F55" s="52" t="str">
        <f>IF(Calculation!E55=Calculation!$A$142,Calculation!F55,"")</f>
        <v/>
      </c>
      <c r="G55" s="54" t="str">
        <f>IF(Calculation!E55=Calculation!$A$142,Calculation!G55,"")</f>
        <v/>
      </c>
      <c r="H55" s="54" t="str">
        <f>IF(Calculation!E55=Calculation!$A$142,Calculation!H55,"")</f>
        <v/>
      </c>
      <c r="I55" s="55"/>
    </row>
    <row r="56">
      <c r="A56" s="52" t="str">
        <f>IF(Calculation!E56=Calculation!$A$142,Calculation!B56,"")</f>
        <v/>
      </c>
      <c r="B56" s="53" t="str">
        <f>IF(Calculation!E56=Calculation!$A$142,Calculation!I56,"")</f>
        <v/>
      </c>
      <c r="C56" s="52" t="str">
        <f>IF(Calculation!E56=Calculation!$A$142,Calculation!D56,"")</f>
        <v/>
      </c>
      <c r="D56" s="52" t="str">
        <f>IF(Calculation!E56=Calculation!$A$142,Calculation!$A$54,"")</f>
        <v/>
      </c>
      <c r="E56" s="52" t="str">
        <f>IF(Calculation!E56=Calculation!$A$142,Calculation!C56,"")</f>
        <v/>
      </c>
      <c r="F56" s="52" t="str">
        <f>IF(Calculation!E56=Calculation!$A$142,Calculation!F56,"")</f>
        <v/>
      </c>
      <c r="G56" s="54" t="str">
        <f>IF(Calculation!E56=Calculation!$A$142,Calculation!G56,"")</f>
        <v/>
      </c>
      <c r="H56" s="54" t="str">
        <f>IF(Calculation!E56=Calculation!$A$142,Calculation!H56,"")</f>
        <v/>
      </c>
      <c r="I56" s="55"/>
    </row>
    <row r="57">
      <c r="A57" s="52" t="str">
        <f>IF(Calculation!E57=Calculation!$A$142,Calculation!B57,"")</f>
        <v/>
      </c>
      <c r="B57" s="53" t="str">
        <f>IF(Calculation!E57=Calculation!$A$142,Calculation!I57,"")</f>
        <v/>
      </c>
      <c r="C57" s="52" t="str">
        <f>IF(Calculation!E57=Calculation!$A$142,Calculation!D57,"")</f>
        <v/>
      </c>
      <c r="D57" s="52" t="str">
        <f>IF(Calculation!E57=Calculation!$A$142,Calculation!$A$54,"")</f>
        <v/>
      </c>
      <c r="E57" s="52" t="str">
        <f>IF(Calculation!E57=Calculation!$A$142,Calculation!C57,"")</f>
        <v/>
      </c>
      <c r="F57" s="52" t="str">
        <f>IF(Calculation!E57=Calculation!$A$142,Calculation!F57,"")</f>
        <v/>
      </c>
      <c r="G57" s="54" t="str">
        <f>IF(Calculation!E57=Calculation!$A$142,Calculation!G57,"")</f>
        <v/>
      </c>
      <c r="H57" s="54" t="str">
        <f>IF(Calculation!E57=Calculation!$A$142,Calculation!H57,"")</f>
        <v/>
      </c>
      <c r="I57" s="55"/>
    </row>
    <row r="58">
      <c r="A58" s="52" t="str">
        <f>IF(Calculation!E58=Calculation!$A$142,Calculation!B58,"")</f>
        <v/>
      </c>
      <c r="B58" s="53" t="str">
        <f>IF(Calculation!E58=Calculation!$A$142,Calculation!I58,"")</f>
        <v/>
      </c>
      <c r="C58" s="52" t="str">
        <f>IF(Calculation!E58=Calculation!$A$142,Calculation!D58,"")</f>
        <v/>
      </c>
      <c r="D58" s="52" t="str">
        <f>IF(Calculation!E58=Calculation!$A$142,Calculation!$A$54,"")</f>
        <v/>
      </c>
      <c r="E58" s="52" t="str">
        <f>IF(Calculation!E58=Calculation!$A$142,Calculation!C58,"")</f>
        <v/>
      </c>
      <c r="F58" s="52" t="str">
        <f>IF(Calculation!E58=Calculation!$A$142,Calculation!F58,"")</f>
        <v/>
      </c>
      <c r="G58" s="54" t="str">
        <f>IF(Calculation!E58=Calculation!$A$142,Calculation!G58,"")</f>
        <v/>
      </c>
      <c r="H58" s="54" t="str">
        <f>IF(Calculation!E58=Calculation!$A$142,Calculation!H58,"")</f>
        <v/>
      </c>
      <c r="I58" s="55"/>
    </row>
    <row r="59">
      <c r="A59" s="57" t="str">
        <f>IF(Calculation!E59=Calculation!$A$142,Calculation!B59,"")</f>
        <v/>
      </c>
      <c r="B59" s="53" t="str">
        <f>IF(Calculation!E59=Calculation!$A$142,Calculation!I59,"")</f>
        <v/>
      </c>
      <c r="C59" s="52" t="str">
        <f>IF(Calculation!E59=Calculation!$A$142,Calculation!D59,"")</f>
        <v>NIL</v>
      </c>
      <c r="D59" s="52" t="str">
        <f>IF(Calculation!E59=Calculation!$A$142,Calculation!$A$54,"")</f>
        <v>Prince Tyres</v>
      </c>
      <c r="E59" s="52" t="str">
        <f>IF(Calculation!E59=Calculation!$A$142,Calculation!C59,"")</f>
        <v>NIL</v>
      </c>
      <c r="F59" s="52" t="str">
        <f>IF(Calculation!E59=Calculation!$A$142,Calculation!F59,"")</f>
        <v/>
      </c>
      <c r="G59" s="54">
        <f>IF(Calculation!E59=Calculation!$A$142,Calculation!G59,"")</f>
        <v>0</v>
      </c>
      <c r="H59" s="54">
        <f>IF(Calculation!E59=Calculation!$A$142,Calculation!H59,"")</f>
        <v>0</v>
      </c>
      <c r="I59" s="55"/>
    </row>
    <row r="60">
      <c r="A60" s="52" t="str">
        <f>IF(Calculation!E60=Calculation!$A$142,Calculation!B60,"")</f>
        <v/>
      </c>
      <c r="B60" s="53" t="str">
        <f>IF(Calculation!E60=Calculation!$A$142,Calculation!I60,"")</f>
        <v/>
      </c>
      <c r="C60" s="52" t="str">
        <f>IF(Calculation!E60=Calculation!$A$142,Calculation!D60,"")</f>
        <v/>
      </c>
      <c r="D60" s="52" t="str">
        <f>IF(Calculation!E60=Calculation!$A$142,Calculation!$A$54,"")</f>
        <v/>
      </c>
      <c r="E60" s="52" t="str">
        <f>IF(Calculation!E60=Calculation!$A$142,Calculation!C60,"")</f>
        <v/>
      </c>
      <c r="F60" s="52" t="str">
        <f>IF(Calculation!E60=Calculation!$A$142,Calculation!F60,"")</f>
        <v/>
      </c>
      <c r="G60" s="54" t="str">
        <f>IF(Calculation!E60=Calculation!$A$142,Calculation!G60,"")</f>
        <v/>
      </c>
      <c r="H60" s="54" t="str">
        <f>IF(Calculation!E60=Calculation!$A$142,Calculation!H60,"")</f>
        <v/>
      </c>
      <c r="I60" s="55"/>
    </row>
    <row r="61">
      <c r="A61" s="52" t="str">
        <f>IF(Calculation!E61=Calculation!$A$142,Calculation!B61,"")</f>
        <v/>
      </c>
      <c r="B61" s="53" t="str">
        <f>IF(Calculation!E61=Calculation!$A$142,Calculation!I61,"")</f>
        <v/>
      </c>
      <c r="C61" s="52" t="str">
        <f>IF(Calculation!E61=Calculation!$A$142,Calculation!D61,"")</f>
        <v/>
      </c>
      <c r="D61" s="52" t="str">
        <f>IF(Calculation!E61=Calculation!$A$142,Calculation!$A$54,"")</f>
        <v/>
      </c>
      <c r="E61" s="52" t="str">
        <f>IF(Calculation!E61=Calculation!$A$142,Calculation!C61,"")</f>
        <v/>
      </c>
      <c r="F61" s="52" t="str">
        <f>IF(Calculation!E61=Calculation!$A$142,Calculation!F61,"")</f>
        <v/>
      </c>
      <c r="G61" s="54" t="str">
        <f>IF(Calculation!E61=Calculation!$A$142,Calculation!G61,"")</f>
        <v/>
      </c>
      <c r="H61" s="54" t="str">
        <f>IF(Calculation!E61=Calculation!$A$142,Calculation!H61,"")</f>
        <v/>
      </c>
      <c r="I61" s="55"/>
    </row>
    <row r="62">
      <c r="A62" s="52" t="str">
        <f>IF(Calculation!E62=Calculation!$A$142,Calculation!B62,"")</f>
        <v/>
      </c>
      <c r="B62" s="53" t="str">
        <f>IF(Calculation!E62=Calculation!$A$142,Calculation!I62,"")</f>
        <v/>
      </c>
      <c r="C62" s="52" t="str">
        <f>IF(Calculation!E62=Calculation!$A$142,Calculation!D62,"")</f>
        <v/>
      </c>
      <c r="D62" s="52" t="str">
        <f>IF(Calculation!E62=Calculation!$A$142,Calculation!$A$54,"")</f>
        <v/>
      </c>
      <c r="E62" s="52" t="str">
        <f>IF(Calculation!E62=Calculation!$A$142,Calculation!C62,"")</f>
        <v/>
      </c>
      <c r="F62" s="52" t="str">
        <f>IF(Calculation!E62=Calculation!$A$142,Calculation!F62,"")</f>
        <v/>
      </c>
      <c r="G62" s="54" t="str">
        <f>IF(Calculation!E62=Calculation!$A$142,Calculation!G62,"")</f>
        <v/>
      </c>
      <c r="H62" s="54" t="str">
        <f>IF(Calculation!E62=Calculation!$A$142,Calculation!H62,"")</f>
        <v/>
      </c>
      <c r="I62" s="55"/>
    </row>
    <row r="63">
      <c r="A63" s="52" t="str">
        <f>IF(Calculation!E63=Calculation!$A$142,Calculation!B63,"")</f>
        <v/>
      </c>
      <c r="B63" s="53" t="str">
        <f>IF(Calculation!E63=Calculation!$A$142,Calculation!I63,"")</f>
        <v/>
      </c>
      <c r="C63" s="52" t="str">
        <f>IF(Calculation!E63=Calculation!$A$142,Calculation!D63,"")</f>
        <v/>
      </c>
      <c r="D63" s="52" t="str">
        <f>IF(Calculation!E63=Calculation!$A$142,Calculation!$A$54,"")</f>
        <v/>
      </c>
      <c r="E63" s="52" t="str">
        <f>IF(Calculation!E63=Calculation!$A$142,Calculation!C63,"")</f>
        <v/>
      </c>
      <c r="F63" s="52" t="str">
        <f>IF(Calculation!E63=Calculation!$A$142,Calculation!F63,"")</f>
        <v/>
      </c>
      <c r="G63" s="54" t="str">
        <f>IF(Calculation!E63=Calculation!$A$142,Calculation!G63,"")</f>
        <v/>
      </c>
      <c r="H63" s="54" t="str">
        <f>IF(Calculation!E63=Calculation!$A$142,Calculation!H63,"")</f>
        <v/>
      </c>
      <c r="I63" s="55"/>
    </row>
    <row r="64">
      <c r="A64" s="52" t="str">
        <f>IF(Calculation!E64=Calculation!$A$142,Calculation!B64,"")</f>
        <v/>
      </c>
      <c r="B64" s="53" t="str">
        <f>IF(Calculation!E64=Calculation!$A$142,Calculation!I64,"")</f>
        <v/>
      </c>
      <c r="C64" s="52" t="str">
        <f>IF(Calculation!E64=Calculation!$A$142,Calculation!D64,"")</f>
        <v/>
      </c>
      <c r="D64" s="52" t="str">
        <f>IF(Calculation!E64=Calculation!$A$142,Calculation!$A$54,"")</f>
        <v/>
      </c>
      <c r="E64" s="52" t="str">
        <f>IF(Calculation!E64=Calculation!$A$142,Calculation!C64,"")</f>
        <v/>
      </c>
      <c r="F64" s="52" t="str">
        <f>IF(Calculation!E64=Calculation!$A$142,Calculation!F64,"")</f>
        <v/>
      </c>
      <c r="G64" s="54" t="str">
        <f>IF(Calculation!E64=Calculation!$A$142,Calculation!G64,"")</f>
        <v/>
      </c>
      <c r="H64" s="54" t="str">
        <f>IF(Calculation!E64=Calculation!$A$142,Calculation!H64,"")</f>
        <v/>
      </c>
      <c r="I64" s="55"/>
    </row>
    <row r="65">
      <c r="A65" s="52" t="str">
        <f>IF(Calculation!E65=Calculation!$A$142,Calculation!B65,"")</f>
        <v/>
      </c>
      <c r="B65" s="53" t="str">
        <f>IF(Calculation!E65=Calculation!$A$142,Calculation!I65,"")</f>
        <v/>
      </c>
      <c r="C65" s="52" t="str">
        <f>IF(Calculation!E65=Calculation!$A$142,Calculation!D65,"")</f>
        <v/>
      </c>
      <c r="D65" s="52" t="str">
        <f>IF(Calculation!E65=Calculation!$A$142,Calculation!$A$54,"")</f>
        <v/>
      </c>
      <c r="E65" s="52" t="str">
        <f>IF(Calculation!E65=Calculation!$A$142,Calculation!C65,"")</f>
        <v/>
      </c>
      <c r="F65" s="52" t="str">
        <f>IF(Calculation!E65=Calculation!$A$142,Calculation!F65,"")</f>
        <v/>
      </c>
      <c r="G65" s="54" t="str">
        <f>IF(Calculation!E65=Calculation!$A$142,Calculation!G65,"")</f>
        <v/>
      </c>
      <c r="H65" s="54" t="str">
        <f>IF(Calculation!E65=Calculation!$A$142,Calculation!H65,"")</f>
        <v/>
      </c>
      <c r="I65" s="55"/>
    </row>
    <row r="66">
      <c r="A66" s="52" t="str">
        <f>IF(Calculation!E66=Calculation!$A$142,Calculation!B66,"")</f>
        <v/>
      </c>
      <c r="B66" s="53" t="str">
        <f>IF(Calculation!E66=Calculation!$A$142,Calculation!I66,"")</f>
        <v/>
      </c>
      <c r="C66" s="52" t="str">
        <f>IF(Calculation!E66=Calculation!$A$142,Calculation!D66,"")</f>
        <v/>
      </c>
      <c r="D66" s="52" t="str">
        <f>IF(Calculation!E66=Calculation!$A$142,Calculation!$A$66,"")</f>
        <v/>
      </c>
      <c r="E66" s="52" t="str">
        <f>IF(Calculation!E66=Calculation!$A$142,Calculation!C66,"")</f>
        <v/>
      </c>
      <c r="F66" s="52" t="str">
        <f>IF(Calculation!E66=Calculation!$A$142,Calculation!F66,"")</f>
        <v/>
      </c>
      <c r="G66" s="54" t="str">
        <f>IF(Calculation!E66=Calculation!$A$142,Calculation!G66,"")</f>
        <v/>
      </c>
      <c r="H66" s="54" t="str">
        <f>IF(Calculation!E66=Calculation!$A$142,Calculation!H66,"")</f>
        <v/>
      </c>
      <c r="I66" s="55"/>
    </row>
    <row r="67">
      <c r="A67" s="52" t="str">
        <f>IF(Calculation!E67=Calculation!$A$142,Calculation!B67,"")</f>
        <v/>
      </c>
      <c r="B67" s="53" t="str">
        <f>IF(Calculation!E67=Calculation!$A$142,Calculation!I67,"")</f>
        <v/>
      </c>
      <c r="C67" s="52" t="str">
        <f>IF(Calculation!E67=Calculation!$A$142,Calculation!D67,"")</f>
        <v/>
      </c>
      <c r="D67" s="52" t="str">
        <f>IF(Calculation!E67=Calculation!$A$142,Calculation!$A$66,"")</f>
        <v/>
      </c>
      <c r="E67" s="52" t="str">
        <f>IF(Calculation!E67=Calculation!$A$142,Calculation!C67,"")</f>
        <v/>
      </c>
      <c r="F67" s="52" t="str">
        <f>IF(Calculation!E67=Calculation!$A$142,Calculation!F67,"")</f>
        <v/>
      </c>
      <c r="G67" s="54" t="str">
        <f>IF(Calculation!E67=Calculation!$A$142,Calculation!G67,"")</f>
        <v/>
      </c>
      <c r="H67" s="54" t="str">
        <f>IF(Calculation!E67=Calculation!$A$142,Calculation!H67,"")</f>
        <v/>
      </c>
      <c r="I67" s="55"/>
    </row>
    <row r="68">
      <c r="A68" s="52" t="str">
        <f>IF(Calculation!E68=Calculation!$A$142,Calculation!B68,"")</f>
        <v/>
      </c>
      <c r="B68" s="53" t="str">
        <f>IF(Calculation!E68=Calculation!$A$142,Calculation!I68,"")</f>
        <v/>
      </c>
      <c r="C68" s="52" t="str">
        <f>IF(Calculation!E68=Calculation!$A$142,Calculation!D68,"")</f>
        <v/>
      </c>
      <c r="D68" s="52" t="str">
        <f>IF(Calculation!E68=Calculation!$A$142,Calculation!$A$66,"")</f>
        <v/>
      </c>
      <c r="E68" s="52" t="str">
        <f>IF(Calculation!E68=Calculation!$A$142,Calculation!C68,"")</f>
        <v/>
      </c>
      <c r="F68" s="52" t="str">
        <f>IF(Calculation!E68=Calculation!$A$142,Calculation!F68,"")</f>
        <v/>
      </c>
      <c r="G68" s="54" t="str">
        <f>IF(Calculation!E68=Calculation!$A$142,Calculation!G68,"")</f>
        <v/>
      </c>
      <c r="H68" s="54" t="str">
        <f>IF(Calculation!E68=Calculation!$A$142,Calculation!H68,"")</f>
        <v/>
      </c>
      <c r="I68" s="55"/>
    </row>
    <row r="69">
      <c r="A69" s="52" t="str">
        <f>IF(Calculation!E69=Calculation!$A$142,Calculation!B69,"")</f>
        <v/>
      </c>
      <c r="B69" s="53" t="str">
        <f>IF(Calculation!E69=Calculation!$A$142,Calculation!I69,"")</f>
        <v/>
      </c>
      <c r="C69" s="52" t="str">
        <f>IF(Calculation!E69=Calculation!$A$142,Calculation!D69,"")</f>
        <v/>
      </c>
      <c r="D69" s="52" t="str">
        <f>IF(Calculation!E69=Calculation!$A$142,Calculation!$A$66,"")</f>
        <v/>
      </c>
      <c r="E69" s="52" t="str">
        <f>IF(Calculation!E69=Calculation!$A$142,Calculation!C69,"")</f>
        <v/>
      </c>
      <c r="F69" s="52" t="str">
        <f>IF(Calculation!E69=Calculation!$A$142,Calculation!F69,"")</f>
        <v/>
      </c>
      <c r="G69" s="54" t="str">
        <f>IF(Calculation!E69=Calculation!$A$142,Calculation!G69,"")</f>
        <v/>
      </c>
      <c r="H69" s="54" t="str">
        <f>IF(Calculation!E69=Calculation!$A$142,Calculation!H69,"")</f>
        <v/>
      </c>
      <c r="I69" s="55"/>
    </row>
    <row r="70">
      <c r="A70" s="52" t="str">
        <f>IF(Calculation!E70=Calculation!$A$142,Calculation!B70,"")</f>
        <v/>
      </c>
      <c r="B70" s="53" t="str">
        <f>IF(Calculation!E70=Calculation!$A$142,Calculation!I70,"")</f>
        <v/>
      </c>
      <c r="C70" s="52" t="str">
        <f>IF(Calculation!E70=Calculation!$A$142,Calculation!D70,"")</f>
        <v/>
      </c>
      <c r="D70" s="52" t="str">
        <f>IF(Calculation!E70=Calculation!$A$142,Calculation!$A$66,"")</f>
        <v/>
      </c>
      <c r="E70" s="52" t="str">
        <f>IF(Calculation!E70=Calculation!$A$142,Calculation!C70,"")</f>
        <v/>
      </c>
      <c r="F70" s="52" t="str">
        <f>IF(Calculation!E70=Calculation!$A$142,Calculation!F70,"")</f>
        <v/>
      </c>
      <c r="G70" s="54" t="str">
        <f>IF(Calculation!E70=Calculation!$A$142,Calculation!G70,"")</f>
        <v/>
      </c>
      <c r="H70" s="54" t="str">
        <f>IF(Calculation!E70=Calculation!$A$142,Calculation!H70,"")</f>
        <v/>
      </c>
      <c r="I70" s="55"/>
    </row>
    <row r="71">
      <c r="A71" s="52" t="str">
        <f>IF(Calculation!E71=Calculation!$A$142,Calculation!B71,"")</f>
        <v/>
      </c>
      <c r="B71" s="53" t="str">
        <f>IF(Calculation!E71=Calculation!$A$142,Calculation!I71,"")</f>
        <v/>
      </c>
      <c r="C71" s="52" t="str">
        <f>IF(Calculation!E71=Calculation!$A$142,Calculation!D71,"")</f>
        <v/>
      </c>
      <c r="D71" s="52" t="str">
        <f>IF(Calculation!E71=Calculation!$A$142,Calculation!$A$66,"")</f>
        <v/>
      </c>
      <c r="E71" s="52" t="str">
        <f>IF(Calculation!E71=Calculation!$A$142,Calculation!C71,"")</f>
        <v/>
      </c>
      <c r="F71" s="52" t="str">
        <f>IF(Calculation!E71=Calculation!$A$142,Calculation!F71,"")</f>
        <v/>
      </c>
      <c r="G71" s="54" t="str">
        <f>IF(Calculation!E71=Calculation!$A$142,Calculation!G71,"")</f>
        <v/>
      </c>
      <c r="H71" s="54" t="str">
        <f>IF(Calculation!E71=Calculation!$A$142,Calculation!H71,"")</f>
        <v/>
      </c>
      <c r="I71" s="55"/>
    </row>
    <row r="72">
      <c r="A72" s="52" t="str">
        <f>IF(Calculation!E72=Calculation!$A$142,Calculation!B72,"")</f>
        <v/>
      </c>
      <c r="B72" s="53" t="str">
        <f>IF(Calculation!E72=Calculation!$A$142,Calculation!I72,"")</f>
        <v/>
      </c>
      <c r="C72" s="52" t="str">
        <f>IF(Calculation!E72=Calculation!$A$142,Calculation!D72,"")</f>
        <v/>
      </c>
      <c r="D72" s="52" t="str">
        <f>IF(Calculation!E72=Calculation!$A$142,Calculation!$A$66,"")</f>
        <v/>
      </c>
      <c r="E72" s="52" t="str">
        <f>IF(Calculation!E72=Calculation!$A$142,Calculation!C72,"")</f>
        <v/>
      </c>
      <c r="F72" s="52" t="str">
        <f>IF(Calculation!E72=Calculation!$A$142,Calculation!F72,"")</f>
        <v/>
      </c>
      <c r="G72" s="54" t="str">
        <f>IF(Calculation!E72=Calculation!$A$142,Calculation!G72,"")</f>
        <v/>
      </c>
      <c r="H72" s="54" t="str">
        <f>IF(Calculation!E72=Calculation!$A$142,Calculation!H72,"")</f>
        <v/>
      </c>
      <c r="I72" s="55"/>
    </row>
    <row r="73">
      <c r="A73" s="52" t="str">
        <f>IF(Calculation!E73=Calculation!$A$142,Calculation!B73,"")</f>
        <v/>
      </c>
      <c r="B73" s="53" t="str">
        <f>IF(Calculation!E73=Calculation!$A$142,Calculation!I73,"")</f>
        <v/>
      </c>
      <c r="C73" s="52" t="str">
        <f>IF(Calculation!E73=Calculation!$A$142,Calculation!D73,"")</f>
        <v/>
      </c>
      <c r="D73" s="52" t="str">
        <f>IF(Calculation!E73=Calculation!$A$142,Calculation!$A$66,"")</f>
        <v/>
      </c>
      <c r="E73" s="52" t="str">
        <f>IF(Calculation!E73=Calculation!$A$142,Calculation!C73,"")</f>
        <v/>
      </c>
      <c r="F73" s="52" t="str">
        <f>IF(Calculation!E73=Calculation!$A$142,Calculation!F73,"")</f>
        <v/>
      </c>
      <c r="G73" s="54" t="str">
        <f>IF(Calculation!E73=Calculation!$A$142,Calculation!G73,"")</f>
        <v/>
      </c>
      <c r="H73" s="54" t="str">
        <f>IF(Calculation!E73=Calculation!$A$142,Calculation!H73,"")</f>
        <v/>
      </c>
      <c r="I73" s="55"/>
    </row>
    <row r="74">
      <c r="A74" s="52" t="str">
        <f>IF(Calculation!E74=Calculation!$A$142,Calculation!B74,"")</f>
        <v/>
      </c>
      <c r="B74" s="53" t="str">
        <f>IF(Calculation!E74=Calculation!$A$142,Calculation!I74,"")</f>
        <v/>
      </c>
      <c r="C74" s="52" t="str">
        <f>IF(Calculation!E74=Calculation!$A$142,Calculation!D74,"")</f>
        <v/>
      </c>
      <c r="D74" s="52" t="str">
        <f>IF(Calculation!E74=Calculation!$A$142,Calculation!$A$66,"")</f>
        <v/>
      </c>
      <c r="E74" s="52" t="str">
        <f>IF(Calculation!E74=Calculation!$A$142,Calculation!C74,"")</f>
        <v/>
      </c>
      <c r="F74" s="52" t="str">
        <f>IF(Calculation!E74=Calculation!$A$142,Calculation!F74,"")</f>
        <v/>
      </c>
      <c r="G74" s="54" t="str">
        <f>IF(Calculation!E74=Calculation!$A$142,Calculation!G74,"")</f>
        <v/>
      </c>
      <c r="H74" s="54" t="str">
        <f>IF(Calculation!E74=Calculation!$A$142,Calculation!H74,"")</f>
        <v/>
      </c>
      <c r="I74" s="55"/>
    </row>
    <row r="75">
      <c r="A75" s="52" t="str">
        <f>IF(Calculation!E75=Calculation!$A$142,Calculation!B75,"")</f>
        <v/>
      </c>
      <c r="B75" s="53" t="str">
        <f>IF(Calculation!E75=Calculation!$A$142,Calculation!I75,"")</f>
        <v/>
      </c>
      <c r="C75" s="52" t="str">
        <f>IF(Calculation!E75=Calculation!$A$142,Calculation!D75,"")</f>
        <v/>
      </c>
      <c r="D75" s="52" t="str">
        <f>IF(Calculation!E75=Calculation!$A$142,Calculation!$A$66,"")</f>
        <v/>
      </c>
      <c r="E75" s="52" t="str">
        <f>IF(Calculation!E75=Calculation!$A$142,Calculation!C75,"")</f>
        <v/>
      </c>
      <c r="F75" s="52" t="str">
        <f>IF(Calculation!E75=Calculation!$A$142,Calculation!F75,"")</f>
        <v/>
      </c>
      <c r="G75" s="54" t="str">
        <f>IF(Calculation!E75=Calculation!$A$142,Calculation!G75,"")</f>
        <v/>
      </c>
      <c r="H75" s="54" t="str">
        <f>IF(Calculation!E75=Calculation!$A$142,Calculation!H75,"")</f>
        <v/>
      </c>
      <c r="I75" s="55"/>
    </row>
    <row r="76">
      <c r="A76" s="52" t="str">
        <f>IF(Calculation!E76=Calculation!$A$142,Calculation!B76,"")</f>
        <v/>
      </c>
      <c r="B76" s="53" t="str">
        <f>IF(Calculation!E76=Calculation!$A$142,Calculation!I76,"")</f>
        <v/>
      </c>
      <c r="C76" s="52" t="str">
        <f>IF(Calculation!E76=Calculation!$A$142,Calculation!D76,"")</f>
        <v/>
      </c>
      <c r="D76" s="52" t="str">
        <f>IF(Calculation!E76=Calculation!$A$142,Calculation!$A$66,"")</f>
        <v/>
      </c>
      <c r="E76" s="52" t="str">
        <f>IF(Calculation!E76=Calculation!$A$142,Calculation!C76,"")</f>
        <v/>
      </c>
      <c r="F76" s="52" t="str">
        <f>IF(Calculation!E76=Calculation!$A$142,Calculation!F76,"")</f>
        <v/>
      </c>
      <c r="G76" s="54" t="str">
        <f>IF(Calculation!E76=Calculation!$A$142,Calculation!G76,"")</f>
        <v/>
      </c>
      <c r="H76" s="54" t="str">
        <f>IF(Calculation!E76=Calculation!$A$142,Calculation!H76,"")</f>
        <v/>
      </c>
      <c r="I76" s="55"/>
    </row>
    <row r="77" ht="22.5" customHeight="1">
      <c r="A77" s="52" t="str">
        <f>IF(Calculation!E77=Calculation!$A$142,Calculation!B77,"")</f>
        <v/>
      </c>
      <c r="B77" s="53" t="str">
        <f>IF(Calculation!E77=Calculation!$A$142,Calculation!I77,"")</f>
        <v/>
      </c>
      <c r="C77" s="52" t="str">
        <f>IF(Calculation!E77=Calculation!$A$142,Calculation!D77,"")</f>
        <v/>
      </c>
      <c r="D77" s="52" t="str">
        <f>IF(Calculation!E77=Calculation!$A$142,Calculation!$A$66,"")</f>
        <v/>
      </c>
      <c r="E77" s="52" t="str">
        <f>IF(Calculation!E77=Calculation!$A$142,Calculation!C77,"")</f>
        <v/>
      </c>
      <c r="F77" s="52" t="str">
        <f>IF(Calculation!E77=Calculation!$A$142,Calculation!F77,"")</f>
        <v/>
      </c>
      <c r="G77" s="54" t="str">
        <f>IF(Calculation!E77=Calculation!$A$142,Calculation!G77,"")</f>
        <v/>
      </c>
      <c r="H77" s="54" t="str">
        <f>IF(Calculation!E77=Calculation!$A$142,Calculation!H77,"")</f>
        <v/>
      </c>
      <c r="I77" s="55"/>
    </row>
    <row r="78" ht="21.75" customHeight="1">
      <c r="A78" s="52" t="str">
        <f>IF(Calculation!E78=Calculation!$A$142,Calculation!B78,"")</f>
        <v/>
      </c>
      <c r="B78" s="53" t="str">
        <f>IF(Calculation!E78=Calculation!$A$142,Calculation!I78,"")</f>
        <v/>
      </c>
      <c r="C78" s="52" t="str">
        <f>IF(Calculation!E78=Calculation!$A$142,Calculation!D78,"")</f>
        <v/>
      </c>
      <c r="D78" s="52" t="str">
        <f>IF(Calculation!E78=Calculation!$A$142,Calculation!$A$66,"")</f>
        <v/>
      </c>
      <c r="E78" s="52" t="str">
        <f>IF(Calculation!E78=Calculation!$A$142,Calculation!C78,"")</f>
        <v/>
      </c>
      <c r="F78" s="52" t="str">
        <f>IF(Calculation!E78=Calculation!$A$142,Calculation!F78,"")</f>
        <v/>
      </c>
      <c r="G78" s="54" t="str">
        <f>IF(Calculation!E78=Calculation!$A$142,Calculation!G78,"")</f>
        <v/>
      </c>
      <c r="H78" s="54" t="str">
        <f>IF(Calculation!E78=Calculation!$A$142,Calculation!H78,"")</f>
        <v/>
      </c>
      <c r="I78" s="55"/>
    </row>
    <row r="79" ht="24.0" customHeight="1">
      <c r="A79" s="52" t="str">
        <f>IF(Calculation!E79=Calculation!$A$142,Calculation!B79,"")</f>
        <v/>
      </c>
      <c r="B79" s="53" t="str">
        <f>IF(Calculation!E79=Calculation!$A$142,Calculation!I79,"")</f>
        <v/>
      </c>
      <c r="C79" s="52" t="str">
        <f>IF(Calculation!E79=Calculation!$A$142,Calculation!D79,"")</f>
        <v/>
      </c>
      <c r="D79" s="52" t="str">
        <f>IF(Calculation!E79=Calculation!$A$142,Calculation!$A$79,"")</f>
        <v/>
      </c>
      <c r="E79" s="52" t="str">
        <f>IF(Calculation!E79=Calculation!$A$142,Calculation!C79,"")</f>
        <v/>
      </c>
      <c r="F79" s="52" t="str">
        <f>IF(Calculation!E79=Calculation!$A$142,Calculation!F79,"")</f>
        <v/>
      </c>
      <c r="G79" s="54" t="str">
        <f>IF(Calculation!E79=Calculation!$A$142,Calculation!G79,"")</f>
        <v/>
      </c>
      <c r="H79" s="54" t="str">
        <f>IF(Calculation!E79=Calculation!$A$142,Calculation!H79,"")</f>
        <v/>
      </c>
      <c r="I79" s="55"/>
    </row>
    <row r="80" ht="21.75" customHeight="1">
      <c r="A80" s="52" t="str">
        <f>IF(Calculation!E80=Calculation!$A$142,Calculation!B80,"")</f>
        <v/>
      </c>
      <c r="B80" s="53" t="str">
        <f>IF(Calculation!E80=Calculation!$A$142,Calculation!I80,"")</f>
        <v/>
      </c>
      <c r="C80" s="52" t="str">
        <f>IF(Calculation!E80=Calculation!$A$142,Calculation!D80,"")</f>
        <v/>
      </c>
      <c r="D80" s="52" t="str">
        <f>IF(Calculation!E80=Calculation!$A$142,Calculation!$A$79,"")</f>
        <v/>
      </c>
      <c r="E80" s="52" t="str">
        <f>IF(Calculation!E80=Calculation!$A$142,Calculation!C80,"")</f>
        <v/>
      </c>
      <c r="F80" s="52" t="str">
        <f>IF(Calculation!E80=Calculation!$A$142,Calculation!F80,"")</f>
        <v/>
      </c>
      <c r="G80" s="54" t="str">
        <f>IF(Calculation!E80=Calculation!$A$142,Calculation!G80,"")</f>
        <v/>
      </c>
      <c r="H80" s="54" t="str">
        <f>IF(Calculation!E80=Calculation!$A$142,Calculation!H80,"")</f>
        <v/>
      </c>
      <c r="I80" s="55"/>
    </row>
    <row r="81" ht="20.25" customHeight="1">
      <c r="A81" s="52" t="str">
        <f>IF(Calculation!E81=Calculation!$A$142,Calculation!B81,"")</f>
        <v/>
      </c>
      <c r="B81" s="53" t="str">
        <f>IF(Calculation!E81=Calculation!$A$142,Calculation!I81,"")</f>
        <v/>
      </c>
      <c r="C81" s="52" t="str">
        <f>IF(Calculation!E81=Calculation!$A$142,Calculation!D81,"")</f>
        <v/>
      </c>
      <c r="D81" s="52" t="str">
        <f>IF(Calculation!E81=Calculation!$A$142,Calculation!$A$79,"")</f>
        <v/>
      </c>
      <c r="E81" s="52" t="str">
        <f>IF(Calculation!E81=Calculation!$A$142,Calculation!C81,"")</f>
        <v/>
      </c>
      <c r="F81" s="52" t="str">
        <f>IF(Calculation!E81=Calculation!$A$142,Calculation!F81,"")</f>
        <v/>
      </c>
      <c r="G81" s="54" t="str">
        <f>IF(Calculation!E81=Calculation!$A$142,Calculation!G81,"")</f>
        <v/>
      </c>
      <c r="H81" s="54" t="str">
        <f>IF(Calculation!E81=Calculation!$A$142,Calculation!H81,"")</f>
        <v/>
      </c>
      <c r="I81" s="55"/>
    </row>
    <row r="82">
      <c r="A82" s="52" t="str">
        <f>IF(Calculation!E82=Calculation!$A$142,Calculation!B82,"")</f>
        <v/>
      </c>
      <c r="B82" s="53" t="str">
        <f>IF(Calculation!E82=Calculation!$A$142,Calculation!I82,"")</f>
        <v/>
      </c>
      <c r="C82" s="52" t="str">
        <f>IF(Calculation!E82=Calculation!$A$142,Calculation!D82,"")</f>
        <v/>
      </c>
      <c r="D82" s="52" t="str">
        <f>IF(Calculation!E82=Calculation!$A$142,Calculation!$A$79,"")</f>
        <v/>
      </c>
      <c r="E82" s="52" t="str">
        <f>IF(Calculation!E82=Calculation!$A$142,Calculation!C82,"")</f>
        <v/>
      </c>
      <c r="F82" s="52" t="str">
        <f>IF(Calculation!E82=Calculation!$A$142,Calculation!F82,"")</f>
        <v/>
      </c>
      <c r="G82" s="54" t="str">
        <f>IF(Calculation!E82=Calculation!$A$142,Calculation!G82,"")</f>
        <v/>
      </c>
      <c r="H82" s="54" t="str">
        <f>IF(Calculation!E82=Calculation!$A$142,Calculation!H82,"")</f>
        <v/>
      </c>
      <c r="I82" s="55"/>
    </row>
    <row r="83">
      <c r="A83" s="52" t="str">
        <f>IF(Calculation!E83=Calculation!$A$142,Calculation!B83,"")</f>
        <v/>
      </c>
      <c r="B83" s="53" t="str">
        <f>IF(Calculation!E83=Calculation!$A$142,Calculation!I83,"")</f>
        <v/>
      </c>
      <c r="C83" s="52" t="str">
        <f>IF(Calculation!E83=Calculation!$A$142,Calculation!D83,"")</f>
        <v/>
      </c>
      <c r="D83" s="52" t="str">
        <f>IF(Calculation!E83=Calculation!$A$142,Calculation!$A$79,"")</f>
        <v/>
      </c>
      <c r="E83" s="52" t="str">
        <f>IF(Calculation!E83=Calculation!$A$142,Calculation!C83,"")</f>
        <v/>
      </c>
      <c r="F83" s="52" t="str">
        <f>IF(Calculation!E83=Calculation!$A$142,Calculation!F83,"")</f>
        <v/>
      </c>
      <c r="G83" s="54" t="str">
        <f>IF(Calculation!E83=Calculation!$A$142,Calculation!G83,"")</f>
        <v/>
      </c>
      <c r="H83" s="54" t="str">
        <f>IF(Calculation!E83=Calculation!$A$142,Calculation!H83,"")</f>
        <v/>
      </c>
      <c r="I83" s="55"/>
    </row>
    <row r="84">
      <c r="A84" s="52" t="str">
        <f>IF(Calculation!E84=Calculation!$A$142,Calculation!B84,"")</f>
        <v/>
      </c>
      <c r="B84" s="53" t="str">
        <f>IF(Calculation!E84=Calculation!$A$142,Calculation!I84,"")</f>
        <v/>
      </c>
      <c r="C84" s="52" t="str">
        <f>IF(Calculation!E84=Calculation!$A$142,Calculation!D84,"")</f>
        <v/>
      </c>
      <c r="D84" s="52" t="str">
        <f>IF(Calculation!E84=Calculation!$A$142,Calculation!$A$79,"")</f>
        <v/>
      </c>
      <c r="E84" s="52" t="str">
        <f>IF(Calculation!E84=Calculation!$A$142,Calculation!C84,"")</f>
        <v/>
      </c>
      <c r="F84" s="52" t="str">
        <f>IF(Calculation!E84=Calculation!$A$142,Calculation!F84,"")</f>
        <v/>
      </c>
      <c r="G84" s="54" t="str">
        <f>IF(Calculation!E84=Calculation!$A$142,Calculation!G84,"")</f>
        <v/>
      </c>
      <c r="H84" s="54" t="str">
        <f>IF(Calculation!E84=Calculation!$A$142,Calculation!H84,"")</f>
        <v/>
      </c>
      <c r="I84" s="55"/>
    </row>
    <row r="85">
      <c r="A85" s="57" t="str">
        <f>IF(Calculation!E85=Calculation!$A$142,Calculation!B85,"")</f>
        <v/>
      </c>
      <c r="B85" s="53" t="str">
        <f>IF(Calculation!E85=Calculation!$A$142,Calculation!I85,"")</f>
        <v/>
      </c>
      <c r="C85" s="52" t="str">
        <f>IF(Calculation!E85=Calculation!$A$142,Calculation!D85,"")</f>
        <v>NIL</v>
      </c>
      <c r="D85" s="52" t="str">
        <f>IF(Calculation!E85=Calculation!$A$142,Calculation!$A$79,"")</f>
        <v>NIL</v>
      </c>
      <c r="E85" s="52" t="str">
        <f>IF(Calculation!E85=Calculation!$A$142,Calculation!C85,"")</f>
        <v>NIL</v>
      </c>
      <c r="F85" s="52" t="str">
        <f>IF(Calculation!E85=Calculation!$A$142,Calculation!F85,"")</f>
        <v/>
      </c>
      <c r="G85" s="54">
        <f>IF(Calculation!E85=Calculation!$A$142,Calculation!G85,"")</f>
        <v>0</v>
      </c>
      <c r="H85" s="54">
        <f>IF(Calculation!E85=Calculation!$A$142,Calculation!H85,"")</f>
        <v>0</v>
      </c>
      <c r="I85" s="55"/>
    </row>
    <row r="86">
      <c r="A86" s="52" t="str">
        <f>IF(Calculation!E86=Calculation!$A$142,Calculation!B86,"")</f>
        <v/>
      </c>
      <c r="B86" s="53" t="str">
        <f>IF(Calculation!E86=Calculation!$A$142,Calculation!I86,"")</f>
        <v/>
      </c>
      <c r="C86" s="52" t="str">
        <f>IF(Calculation!E86=Calculation!$A$142,Calculation!D86,"")</f>
        <v/>
      </c>
      <c r="D86" s="52" t="str">
        <f>IF(Calculation!E86=Calculation!$A$142,Calculation!$A$79,"")</f>
        <v/>
      </c>
      <c r="E86" s="52" t="str">
        <f>IF(Calculation!E86=Calculation!$A$142,Calculation!C86,"")</f>
        <v/>
      </c>
      <c r="F86" s="52" t="str">
        <f>IF(Calculation!E86=Calculation!$A$142,Calculation!F86,"")</f>
        <v/>
      </c>
      <c r="G86" s="54" t="str">
        <f>IF(Calculation!E86=Calculation!$A$142,Calculation!G86,"")</f>
        <v/>
      </c>
      <c r="H86" s="54" t="str">
        <f>IF(Calculation!E86=Calculation!$A$142,Calculation!H86,"")</f>
        <v/>
      </c>
      <c r="I86" s="55"/>
    </row>
    <row r="87">
      <c r="A87" s="52" t="str">
        <f>IF(Calculation!E87=Calculation!$A$142,Calculation!B87,"")</f>
        <v/>
      </c>
      <c r="B87" s="53" t="str">
        <f>IF(Calculation!E87=Calculation!$A$142,Calculation!I87,"")</f>
        <v/>
      </c>
      <c r="C87" s="52" t="str">
        <f>IF(Calculation!E87=Calculation!$A$142,Calculation!D87,"")</f>
        <v/>
      </c>
      <c r="D87" s="52" t="str">
        <f>IF(Calculation!E87=Calculation!$A$142,Calculation!$A$79,"")</f>
        <v/>
      </c>
      <c r="E87" s="52" t="str">
        <f>IF(Calculation!E87=Calculation!$A$142,Calculation!C87,"")</f>
        <v/>
      </c>
      <c r="F87" s="52" t="str">
        <f>IF(Calculation!E87=Calculation!$A$142,Calculation!F87,"")</f>
        <v/>
      </c>
      <c r="G87" s="54" t="str">
        <f>IF(Calculation!E87=Calculation!$A$142,Calculation!G87,"")</f>
        <v/>
      </c>
      <c r="H87" s="54" t="str">
        <f>IF(Calculation!E87=Calculation!$A$142,Calculation!H87,"")</f>
        <v/>
      </c>
      <c r="I87" s="55"/>
    </row>
    <row r="88">
      <c r="A88" s="52" t="str">
        <f>IF(Calculation!E88=Calculation!$A$142,Calculation!B88,"")</f>
        <v/>
      </c>
      <c r="B88" s="53" t="str">
        <f>IF(Calculation!E88=Calculation!$A$142,Calculation!I88,"")</f>
        <v/>
      </c>
      <c r="C88" s="52" t="str">
        <f>IF(Calculation!E88=Calculation!$A$142,Calculation!D88,"")</f>
        <v/>
      </c>
      <c r="D88" s="52" t="str">
        <f>IF(Calculation!E88=Calculation!$A$142,Calculation!$A$79,"")</f>
        <v/>
      </c>
      <c r="E88" s="52" t="str">
        <f>IF(Calculation!E88=Calculation!$A$142,Calculation!C88,"")</f>
        <v/>
      </c>
      <c r="F88" s="52" t="str">
        <f>IF(Calculation!E88=Calculation!$A$142,Calculation!F88,"")</f>
        <v/>
      </c>
      <c r="G88" s="54" t="str">
        <f>IF(Calculation!E88=Calculation!$A$142,Calculation!G88,"")</f>
        <v/>
      </c>
      <c r="H88" s="54" t="str">
        <f>IF(Calculation!E88=Calculation!$A$142,Calculation!H88,"")</f>
        <v/>
      </c>
      <c r="I88" s="55"/>
    </row>
    <row r="89">
      <c r="A89" s="52" t="str">
        <f>IF(Calculation!E89=Calculation!$A$142,Calculation!B89,"")</f>
        <v/>
      </c>
      <c r="B89" s="53" t="str">
        <f>IF(Calculation!E89=Calculation!$A$142,Calculation!I89,"")</f>
        <v/>
      </c>
      <c r="C89" s="52" t="str">
        <f>IF(Calculation!E89=Calculation!$A$142,Calculation!D89,"")</f>
        <v/>
      </c>
      <c r="D89" s="52" t="str">
        <f>IF(Calculation!E89=Calculation!$A$142,Calculation!$A$79,"")</f>
        <v/>
      </c>
      <c r="E89" s="52" t="str">
        <f>IF(Calculation!E89=Calculation!$A$142,Calculation!C89,"")</f>
        <v/>
      </c>
      <c r="F89" s="52" t="str">
        <f>IF(Calculation!E89=Calculation!$A$142,Calculation!F89,"")</f>
        <v/>
      </c>
      <c r="G89" s="54" t="str">
        <f>IF(Calculation!E89=Calculation!$A$142,Calculation!G89,"")</f>
        <v/>
      </c>
      <c r="H89" s="54" t="str">
        <f>IF(Calculation!E89=Calculation!$A$142,Calculation!H89,"")</f>
        <v/>
      </c>
      <c r="I89" s="55"/>
    </row>
    <row r="90">
      <c r="A90" s="52" t="str">
        <f>IF(Calculation!E90=Calculation!$A$142,Calculation!B90,"")</f>
        <v/>
      </c>
      <c r="B90" s="53" t="str">
        <f>IF(Calculation!E90=Calculation!$A$142,Calculation!I90,"")</f>
        <v/>
      </c>
      <c r="C90" s="52" t="str">
        <f>IF(Calculation!E90=Calculation!$A$142,Calculation!D90,"")</f>
        <v/>
      </c>
      <c r="D90" s="52" t="str">
        <f>IF(Calculation!E90=Calculation!$A$142,Calculation!$A$79,"")</f>
        <v/>
      </c>
      <c r="E90" s="52" t="str">
        <f>IF(Calculation!E90=Calculation!$A$142,Calculation!C90,"")</f>
        <v/>
      </c>
      <c r="F90" s="52" t="str">
        <f>IF(Calculation!E90=Calculation!$A$142,Calculation!F90,"")</f>
        <v/>
      </c>
      <c r="G90" s="54" t="str">
        <f>IF(Calculation!E90=Calculation!$A$142,Calculation!G90,"")</f>
        <v/>
      </c>
      <c r="H90" s="54" t="str">
        <f>IF(Calculation!E90=Calculation!$A$142,Calculation!H90,"")</f>
        <v/>
      </c>
      <c r="I90" s="55"/>
    </row>
    <row r="91">
      <c r="A91" s="52" t="str">
        <f>IF(Calculation!E91=Calculation!$A$142,Calculation!B91,"")</f>
        <v/>
      </c>
      <c r="B91" s="53" t="str">
        <f>IF(Calculation!E91=Calculation!$A$142,Calculation!I91,"")</f>
        <v/>
      </c>
      <c r="C91" s="52" t="str">
        <f>IF(Calculation!E91=Calculation!$A$142,Calculation!D91,"")</f>
        <v/>
      </c>
      <c r="D91" s="52" t="str">
        <f>IF(Calculation!E91=Calculation!$A$142,Calculation!$A$79,"")</f>
        <v/>
      </c>
      <c r="E91" s="52" t="str">
        <f>IF(Calculation!E91=Calculation!$A$142,Calculation!C91,"")</f>
        <v/>
      </c>
      <c r="F91" s="52" t="str">
        <f>IF(Calculation!E91=Calculation!$A$142,Calculation!F91,"")</f>
        <v/>
      </c>
      <c r="G91" s="54" t="str">
        <f>IF(Calculation!E91=Calculation!$A$142,Calculation!G91,"")</f>
        <v/>
      </c>
      <c r="H91" s="54" t="str">
        <f>IF(Calculation!E91=Calculation!$A$142,Calculation!H91,"")</f>
        <v/>
      </c>
      <c r="I91" s="55"/>
    </row>
    <row r="92">
      <c r="A92" s="52" t="str">
        <f>IF(Calculation!E92=Calculation!$A$142,Calculation!B92,"")</f>
        <v/>
      </c>
      <c r="B92" s="53" t="str">
        <f>IF(Calculation!E92=Calculation!$A$142,Calculation!I92,"")</f>
        <v/>
      </c>
      <c r="C92" s="52" t="str">
        <f>IF(Calculation!E92=Calculation!$A$142,Calculation!D92,"")</f>
        <v/>
      </c>
      <c r="D92" s="52" t="str">
        <f>IF(Calculation!E92=Calculation!$A$142,Calculation!$A$92,"")</f>
        <v/>
      </c>
      <c r="E92" s="52" t="str">
        <f>IF(Calculation!E92=Calculation!$A$142,Calculation!C92,"")</f>
        <v/>
      </c>
      <c r="F92" s="52" t="str">
        <f>IF(Calculation!E92=Calculation!$A$142,Calculation!F92,"")</f>
        <v/>
      </c>
      <c r="G92" s="54" t="str">
        <f>IF(Calculation!E92=Calculation!$A$142,Calculation!G92,"")</f>
        <v/>
      </c>
      <c r="H92" s="54" t="str">
        <f>IF(Calculation!E92=Calculation!$A$142,Calculation!H92,"")</f>
        <v/>
      </c>
      <c r="I92" s="55"/>
    </row>
    <row r="93">
      <c r="A93" s="52" t="str">
        <f>IF(Calculation!E93=Calculation!$A$142,Calculation!B93,"")</f>
        <v/>
      </c>
      <c r="B93" s="53" t="str">
        <f>IF(Calculation!E93=Calculation!$A$142,Calculation!I93,"")</f>
        <v/>
      </c>
      <c r="C93" s="52" t="str">
        <f>IF(Calculation!E93=Calculation!$A$142,Calculation!D93,"")</f>
        <v/>
      </c>
      <c r="D93" s="52" t="str">
        <f>IF(Calculation!E93=Calculation!$A$142,Calculation!$A$92,"")</f>
        <v/>
      </c>
      <c r="E93" s="52" t="str">
        <f>IF(Calculation!E93=Calculation!$A$142,Calculation!C93,"")</f>
        <v/>
      </c>
      <c r="F93" s="52" t="str">
        <f>IF(Calculation!E93=Calculation!$A$142,Calculation!F93,"")</f>
        <v/>
      </c>
      <c r="G93" s="54" t="str">
        <f>IF(Calculation!E93=Calculation!$A$142,Calculation!G93,"")</f>
        <v/>
      </c>
      <c r="H93" s="54" t="str">
        <f>IF(Calculation!E93=Calculation!$A$142,Calculation!H93,"")</f>
        <v/>
      </c>
      <c r="I93" s="55"/>
    </row>
    <row r="94">
      <c r="A94" s="52" t="str">
        <f>IF(Calculation!E94=Calculation!$A$142,Calculation!B94,"")</f>
        <v/>
      </c>
      <c r="B94" s="53" t="str">
        <f>IF(Calculation!E94=Calculation!$A$142,Calculation!I94,"")</f>
        <v/>
      </c>
      <c r="C94" s="52" t="str">
        <f>IF(Calculation!E94=Calculation!$A$142,Calculation!D94,"")</f>
        <v/>
      </c>
      <c r="D94" s="52" t="str">
        <f>IF(Calculation!E94=Calculation!$A$142,Calculation!$A$92,"")</f>
        <v/>
      </c>
      <c r="E94" s="52" t="str">
        <f>IF(Calculation!E94=Calculation!$A$142,Calculation!C94,"")</f>
        <v/>
      </c>
      <c r="F94" s="52" t="str">
        <f>IF(Calculation!E94=Calculation!$A$142,Calculation!F94,"")</f>
        <v/>
      </c>
      <c r="G94" s="54" t="str">
        <f>IF(Calculation!E94=Calculation!$A$142,Calculation!G94,"")</f>
        <v/>
      </c>
      <c r="H94" s="54" t="str">
        <f>IF(Calculation!E94=Calculation!$A$142,Calculation!H94,"")</f>
        <v/>
      </c>
      <c r="I94" s="55"/>
    </row>
    <row r="95">
      <c r="A95" s="52" t="str">
        <f>IF(Calculation!E95=Calculation!$A$142,Calculation!B95,"")</f>
        <v/>
      </c>
      <c r="B95" s="53" t="str">
        <f>IF(Calculation!E95=Calculation!$A$142,Calculation!I95,"")</f>
        <v/>
      </c>
      <c r="C95" s="52" t="str">
        <f>IF(Calculation!E95=Calculation!$A$142,Calculation!D95,"")</f>
        <v/>
      </c>
      <c r="D95" s="52" t="str">
        <f>IF(Calculation!E95=Calculation!$A$142,Calculation!$A$92,"")</f>
        <v/>
      </c>
      <c r="E95" s="52" t="str">
        <f>IF(Calculation!E95=Calculation!$A$142,Calculation!C95,"")</f>
        <v/>
      </c>
      <c r="F95" s="52" t="str">
        <f>IF(Calculation!E95=Calculation!$A$142,Calculation!F95,"")</f>
        <v/>
      </c>
      <c r="G95" s="54" t="str">
        <f>IF(Calculation!E95=Calculation!$A$142,Calculation!G95,"")</f>
        <v/>
      </c>
      <c r="H95" s="54" t="str">
        <f>IF(Calculation!E95=Calculation!$A$142,Calculation!H95,"")</f>
        <v/>
      </c>
      <c r="I95" s="55"/>
    </row>
    <row r="96">
      <c r="A96" s="52" t="str">
        <f>IF(Calculation!E96=Calculation!$A$142,Calculation!B96,"")</f>
        <v/>
      </c>
      <c r="B96" s="53" t="str">
        <f>IF(Calculation!E96=Calculation!$A$142,Calculation!I96,"")</f>
        <v/>
      </c>
      <c r="C96" s="52" t="str">
        <f>IF(Calculation!E96=Calculation!$A$142,Calculation!D96,"")</f>
        <v/>
      </c>
      <c r="D96" s="52" t="str">
        <f>IF(Calculation!E96=Calculation!$A$142,Calculation!$A$92,"")</f>
        <v/>
      </c>
      <c r="E96" s="52" t="str">
        <f>IF(Calculation!E96=Calculation!$A$142,Calculation!C96,"")</f>
        <v/>
      </c>
      <c r="F96" s="52" t="str">
        <f>IF(Calculation!E96=Calculation!$A$142,Calculation!F96,"")</f>
        <v/>
      </c>
      <c r="G96" s="54" t="str">
        <f>IF(Calculation!E96=Calculation!$A$142,Calculation!G96,"")</f>
        <v/>
      </c>
      <c r="H96" s="54" t="str">
        <f>IF(Calculation!E96=Calculation!$A$142,Calculation!H96,"")</f>
        <v/>
      </c>
      <c r="I96" s="55"/>
    </row>
    <row r="97">
      <c r="A97" s="52" t="str">
        <f>IF(Calculation!E97=Calculation!$A$142,Calculation!B97,"")</f>
        <v/>
      </c>
      <c r="B97" s="53" t="str">
        <f>IF(Calculation!E97=Calculation!$A$142,Calculation!I97,"")</f>
        <v/>
      </c>
      <c r="C97" s="52" t="str">
        <f>IF(Calculation!E97=Calculation!$A$142,Calculation!D97,"")</f>
        <v/>
      </c>
      <c r="D97" s="52" t="str">
        <f>IF(Calculation!E97=Calculation!$A$142,Calculation!$A$92,"")</f>
        <v/>
      </c>
      <c r="E97" s="52" t="str">
        <f>IF(Calculation!E97=Calculation!$A$142,Calculation!C97,"")</f>
        <v/>
      </c>
      <c r="F97" s="52" t="str">
        <f>IF(Calculation!E97=Calculation!$A$142,Calculation!F97,"")</f>
        <v/>
      </c>
      <c r="G97" s="54" t="str">
        <f>IF(Calculation!E97=Calculation!$A$142,Calculation!G97,"")</f>
        <v/>
      </c>
      <c r="H97" s="54" t="str">
        <f>IF(Calculation!E97=Calculation!$A$142,Calculation!H97,"")</f>
        <v/>
      </c>
      <c r="I97" s="55"/>
    </row>
    <row r="98">
      <c r="A98" s="52" t="str">
        <f>IF(Calculation!E98=Calculation!$A$142,Calculation!B98,"")</f>
        <v/>
      </c>
      <c r="B98" s="53" t="str">
        <f>IF(Calculation!E98=Calculation!$A$142,Calculation!I98,"")</f>
        <v/>
      </c>
      <c r="C98" s="52" t="str">
        <f>IF(Calculation!E98=Calculation!$A$142,Calculation!D98,"")</f>
        <v/>
      </c>
      <c r="D98" s="52" t="str">
        <f>IF(Calculation!E98=Calculation!$A$142,Calculation!$A$92,"")</f>
        <v/>
      </c>
      <c r="E98" s="52" t="str">
        <f>IF(Calculation!E98=Calculation!$A$142,Calculation!C98,"")</f>
        <v/>
      </c>
      <c r="F98" s="52" t="str">
        <f>IF(Calculation!E98=Calculation!$A$142,Calculation!F98,"")</f>
        <v/>
      </c>
      <c r="G98" s="54" t="str">
        <f>IF(Calculation!E98=Calculation!$A$142,Calculation!G98,"")</f>
        <v/>
      </c>
      <c r="H98" s="54" t="str">
        <f>IF(Calculation!E98=Calculation!$A$142,Calculation!H98,"")</f>
        <v/>
      </c>
      <c r="I98" s="55"/>
    </row>
    <row r="99">
      <c r="A99" s="52" t="str">
        <f>IF(Calculation!E99=Calculation!$A$142,Calculation!B99,"")</f>
        <v/>
      </c>
      <c r="B99" s="53" t="str">
        <f>IF(Calculation!E99=Calculation!$A$142,Calculation!I99,"")</f>
        <v/>
      </c>
      <c r="C99" s="52" t="str">
        <f>IF(Calculation!E99=Calculation!$A$142,Calculation!D99,"")</f>
        <v/>
      </c>
      <c r="D99" s="52" t="str">
        <f>IF(Calculation!E99=Calculation!$A$142,Calculation!$A$92,"")</f>
        <v/>
      </c>
      <c r="E99" s="52" t="str">
        <f>IF(Calculation!E99=Calculation!$A$142,Calculation!C99,"")</f>
        <v/>
      </c>
      <c r="F99" s="52" t="str">
        <f>IF(Calculation!E99=Calculation!$A$142,Calculation!F99,"")</f>
        <v/>
      </c>
      <c r="G99" s="54" t="str">
        <f>IF(Calculation!E99=Calculation!$A$142,Calculation!G99,"")</f>
        <v/>
      </c>
      <c r="H99" s="54" t="str">
        <f>IF(Calculation!E99=Calculation!$A$142,Calculation!H99,"")</f>
        <v/>
      </c>
      <c r="I99" s="55"/>
    </row>
    <row r="100">
      <c r="A100" s="52" t="str">
        <f>IF(Calculation!E100=Calculation!$A$142,Calculation!B100,"")</f>
        <v/>
      </c>
      <c r="B100" s="53" t="str">
        <f>IF(Calculation!E100=Calculation!$A$142,Calculation!I100,"")</f>
        <v/>
      </c>
      <c r="C100" s="52" t="str">
        <f>IF(Calculation!E100=Calculation!$A$142,Calculation!D100,"")</f>
        <v/>
      </c>
      <c r="D100" s="52" t="str">
        <f>IF(Calculation!E100=Calculation!$A$142,Calculation!$A$92,"")</f>
        <v/>
      </c>
      <c r="E100" s="52" t="str">
        <f>IF(Calculation!E100=Calculation!$A$142,Calculation!C100,"")</f>
        <v/>
      </c>
      <c r="F100" s="52" t="str">
        <f>IF(Calculation!E100=Calculation!$A$142,Calculation!F100,"")</f>
        <v/>
      </c>
      <c r="G100" s="54" t="str">
        <f>IF(Calculation!E100=Calculation!$A$142,Calculation!G100,"")</f>
        <v/>
      </c>
      <c r="H100" s="54" t="str">
        <f>IF(Calculation!E100=Calculation!$A$142,Calculation!H100,"")</f>
        <v/>
      </c>
      <c r="I100" s="55"/>
    </row>
    <row r="101">
      <c r="A101" s="52" t="str">
        <f>IF(Calculation!E101=Calculation!$A$142,Calculation!B101,"")</f>
        <v/>
      </c>
      <c r="B101" s="53" t="str">
        <f>IF(Calculation!E101=Calculation!$A$142,Calculation!I101,"")</f>
        <v/>
      </c>
      <c r="C101" s="52" t="str">
        <f>IF(Calculation!E101=Calculation!$A$142,Calculation!D101,"")</f>
        <v/>
      </c>
      <c r="D101" s="52" t="str">
        <f>IF(Calculation!E101=Calculation!$A$142,Calculation!$A$92,"")</f>
        <v/>
      </c>
      <c r="E101" s="52" t="str">
        <f>IF(Calculation!E101=Calculation!$A$142,Calculation!C101,"")</f>
        <v/>
      </c>
      <c r="F101" s="52" t="str">
        <f>IF(Calculation!E101=Calculation!$A$142,Calculation!F101,"")</f>
        <v/>
      </c>
      <c r="G101" s="54" t="str">
        <f>IF(Calculation!E101=Calculation!$A$142,Calculation!G101,"")</f>
        <v/>
      </c>
      <c r="H101" s="54" t="str">
        <f>IF(Calculation!E101=Calculation!$A$142,Calculation!H101,"")</f>
        <v/>
      </c>
      <c r="I101" s="55"/>
    </row>
    <row r="102">
      <c r="A102" s="52" t="str">
        <f>IF(Calculation!E102=Calculation!$A$142,Calculation!B102,"")</f>
        <v/>
      </c>
      <c r="B102" s="53" t="str">
        <f>IF(Calculation!E102=Calculation!$A$142,Calculation!I102,"")</f>
        <v/>
      </c>
      <c r="C102" s="52" t="str">
        <f>IF(Calculation!E102=Calculation!$A$142,Calculation!D102,"")</f>
        <v/>
      </c>
      <c r="D102" s="52" t="str">
        <f>IF(Calculation!E102=Calculation!$A$142,Calculation!$A$92,"")</f>
        <v/>
      </c>
      <c r="E102" s="52" t="str">
        <f>IF(Calculation!E102=Calculation!$A$142,Calculation!C102,"")</f>
        <v/>
      </c>
      <c r="F102" s="52" t="str">
        <f>IF(Calculation!E102=Calculation!$A$142,Calculation!F102,"")</f>
        <v/>
      </c>
      <c r="G102" s="54" t="str">
        <f>IF(Calculation!E102=Calculation!$A$142,Calculation!G102,"")</f>
        <v/>
      </c>
      <c r="H102" s="54" t="str">
        <f>IF(Calculation!E102=Calculation!$A$142,Calculation!H102,"")</f>
        <v/>
      </c>
      <c r="I102" s="55"/>
    </row>
    <row r="103">
      <c r="A103" s="52" t="str">
        <f>IF(Calculation!E103=Calculation!$A$142,Calculation!B103,"")</f>
        <v/>
      </c>
      <c r="B103" s="53" t="str">
        <f>IF(Calculation!E103=Calculation!$A$142,Calculation!I103,"")</f>
        <v/>
      </c>
      <c r="C103" s="52" t="str">
        <f>IF(Calculation!E103=Calculation!$A$142,Calculation!D103,"")</f>
        <v/>
      </c>
      <c r="D103" s="52" t="str">
        <f>IF(Calculation!E103=Calculation!$A$142,Calculation!$A$92,"")</f>
        <v/>
      </c>
      <c r="E103" s="52" t="str">
        <f>IF(Calculation!E103=Calculation!$A$142,Calculation!C103,"")</f>
        <v/>
      </c>
      <c r="F103" s="52" t="str">
        <f>IF(Calculation!E103=Calculation!$A$142,Calculation!F103,"")</f>
        <v/>
      </c>
      <c r="G103" s="54" t="str">
        <f>IF(Calculation!E103=Calculation!$A$142,Calculation!G103,"")</f>
        <v/>
      </c>
      <c r="H103" s="54" t="str">
        <f>IF(Calculation!E103=Calculation!$A$142,Calculation!H103,"")</f>
        <v/>
      </c>
      <c r="I103" s="55"/>
    </row>
    <row r="104">
      <c r="A104" s="52" t="str">
        <f>IF(Calculation!E104=Calculation!$A$142,Calculation!B104,"")</f>
        <v/>
      </c>
      <c r="B104" s="53" t="str">
        <f>IF(Calculation!E104=Calculation!$A$142,Calculation!I104,"")</f>
        <v/>
      </c>
      <c r="C104" s="52" t="str">
        <f>IF(Calculation!E104=Calculation!$A$142,Calculation!D104,"")</f>
        <v/>
      </c>
      <c r="D104" s="52" t="str">
        <f>IF(Calculation!E104=Calculation!$A$142,Calculation!$A$92,"")</f>
        <v/>
      </c>
      <c r="E104" s="52" t="str">
        <f>IF(Calculation!E104=Calculation!$A$142,Calculation!C104,"")</f>
        <v/>
      </c>
      <c r="F104" s="52" t="str">
        <f>IF(Calculation!E104=Calculation!$A$142,Calculation!F104,"")</f>
        <v/>
      </c>
      <c r="G104" s="54" t="str">
        <f>IF(Calculation!E104=Calculation!$A$142,Calculation!G104,"")</f>
        <v/>
      </c>
      <c r="H104" s="54" t="str">
        <f>IF(Calculation!E104=Calculation!$A$142,Calculation!H104,"")</f>
        <v/>
      </c>
      <c r="I104" s="55"/>
    </row>
    <row r="105">
      <c r="A105" s="52" t="str">
        <f>IF(Calculation!E105=Calculation!$A$142,Calculation!B105,"")</f>
        <v/>
      </c>
      <c r="B105" s="53" t="str">
        <f>IF(Calculation!E105=Calculation!$A$142,Calculation!I105,"")</f>
        <v/>
      </c>
      <c r="C105" s="52" t="str">
        <f>IF(Calculation!E105=Calculation!$A$142,Calculation!D105,"")</f>
        <v/>
      </c>
      <c r="D105" s="52" t="str">
        <f>IF(Calculation!E105=Calculation!$A$142,Calculation!$A$105,"")</f>
        <v/>
      </c>
      <c r="E105" s="52" t="str">
        <f>IF(Calculation!E105=Calculation!$A$142,Calculation!C105,"")</f>
        <v/>
      </c>
      <c r="F105" s="52" t="str">
        <f>IF(Calculation!E105=Calculation!$A$142,Calculation!F105,"")</f>
        <v/>
      </c>
      <c r="G105" s="54" t="str">
        <f>IF(Calculation!E105=Calculation!$A$142,Calculation!G105,"")</f>
        <v/>
      </c>
      <c r="H105" s="54" t="str">
        <f>IF(Calculation!E105=Calculation!$A$142,Calculation!H105,"")</f>
        <v/>
      </c>
      <c r="I105" s="55"/>
    </row>
    <row r="106">
      <c r="A106" s="52" t="str">
        <f>IF(Calculation!E106=Calculation!$A$142,Calculation!B106,"")</f>
        <v/>
      </c>
      <c r="B106" s="53" t="str">
        <f>IF(Calculation!E106=Calculation!$A$142,Calculation!I106,"")</f>
        <v/>
      </c>
      <c r="C106" s="52" t="str">
        <f>IF(Calculation!E106=Calculation!$A$142,Calculation!D106,"")</f>
        <v/>
      </c>
      <c r="D106" s="52" t="str">
        <f>IF(Calculation!E106=Calculation!$A$142,Calculation!$A$105,"")</f>
        <v/>
      </c>
      <c r="E106" s="52" t="str">
        <f>IF(Calculation!E106=Calculation!$A$142,Calculation!C106,"")</f>
        <v/>
      </c>
      <c r="F106" s="52" t="str">
        <f>IF(Calculation!E106=Calculation!$A$142,Calculation!F106,"")</f>
        <v/>
      </c>
      <c r="G106" s="54" t="str">
        <f>IF(Calculation!E106=Calculation!$A$142,Calculation!G106,"")</f>
        <v/>
      </c>
      <c r="H106" s="54" t="str">
        <f>IF(Calculation!E106=Calculation!$A$142,Calculation!H106,"")</f>
        <v/>
      </c>
      <c r="I106" s="55"/>
    </row>
    <row r="107">
      <c r="A107" s="52" t="str">
        <f>IF(Calculation!E107=Calculation!$A$142,Calculation!B107,"")</f>
        <v/>
      </c>
      <c r="B107" s="53" t="str">
        <f>IF(Calculation!E107=Calculation!$A$142,Calculation!I107,"")</f>
        <v/>
      </c>
      <c r="C107" s="52" t="str">
        <f>IF(Calculation!E107=Calculation!$A$142,Calculation!D107,"")</f>
        <v/>
      </c>
      <c r="D107" s="52" t="str">
        <f>IF(Calculation!E107=Calculation!$A$142,Calculation!$A$105,"")</f>
        <v/>
      </c>
      <c r="E107" s="52" t="str">
        <f>IF(Calculation!E107=Calculation!$A$142,Calculation!C107,"")</f>
        <v/>
      </c>
      <c r="F107" s="52" t="str">
        <f>IF(Calculation!E107=Calculation!$A$142,Calculation!F107,"")</f>
        <v/>
      </c>
      <c r="G107" s="54" t="str">
        <f>IF(Calculation!E107=Calculation!$A$142,Calculation!G107,"")</f>
        <v/>
      </c>
      <c r="H107" s="54" t="str">
        <f>IF(Calculation!E107=Calculation!$A$142,Calculation!H107,"")</f>
        <v/>
      </c>
      <c r="I107" s="55"/>
    </row>
    <row r="108">
      <c r="A108" s="52" t="str">
        <f>IF(Calculation!E108=Calculation!$A$142,Calculation!B108,"")</f>
        <v/>
      </c>
      <c r="B108" s="53" t="str">
        <f>IF(Calculation!E108=Calculation!$A$142,Calculation!I108,"")</f>
        <v/>
      </c>
      <c r="C108" s="52" t="str">
        <f>IF(Calculation!E108=Calculation!$A$142,Calculation!D108,"")</f>
        <v/>
      </c>
      <c r="D108" s="52" t="str">
        <f>IF(Calculation!E108=Calculation!$A$142,Calculation!$A$105,"")</f>
        <v/>
      </c>
      <c r="E108" s="52" t="str">
        <f>IF(Calculation!E108=Calculation!$A$142,Calculation!C108,"")</f>
        <v/>
      </c>
      <c r="F108" s="52" t="str">
        <f>IF(Calculation!E108=Calculation!$A$142,Calculation!F108,"")</f>
        <v/>
      </c>
      <c r="G108" s="54" t="str">
        <f>IF(Calculation!E108=Calculation!$A$142,Calculation!G108,"")</f>
        <v/>
      </c>
      <c r="H108" s="54" t="str">
        <f>IF(Calculation!E108=Calculation!$A$142,Calculation!H108,"")</f>
        <v/>
      </c>
      <c r="I108" s="55"/>
    </row>
    <row r="109">
      <c r="A109" s="52" t="str">
        <f>IF(Calculation!E109=Calculation!$A$142,Calculation!B109,"")</f>
        <v/>
      </c>
      <c r="B109" s="53" t="str">
        <f>IF(Calculation!E109=Calculation!$A$142,Calculation!I109,"")</f>
        <v/>
      </c>
      <c r="C109" s="52" t="str">
        <f>IF(Calculation!E109=Calculation!$A$142,Calculation!D109,"")</f>
        <v/>
      </c>
      <c r="D109" s="52" t="str">
        <f>IF(Calculation!E109=Calculation!$A$142,Calculation!$A$105,"")</f>
        <v/>
      </c>
      <c r="E109" s="52" t="str">
        <f>IF(Calculation!E109=Calculation!$A$142,Calculation!C109,"")</f>
        <v/>
      </c>
      <c r="F109" s="52" t="str">
        <f>IF(Calculation!E109=Calculation!$A$142,Calculation!F109,"")</f>
        <v/>
      </c>
      <c r="G109" s="54" t="str">
        <f>IF(Calculation!E109=Calculation!$A$142,Calculation!G109,"")</f>
        <v/>
      </c>
      <c r="H109" s="54" t="str">
        <f>IF(Calculation!E109=Calculation!$A$142,Calculation!H109,"")</f>
        <v/>
      </c>
      <c r="I109" s="55"/>
    </row>
    <row r="110">
      <c r="A110" s="52" t="str">
        <f>IF(Calculation!E110=Calculation!$A$142,Calculation!B110,"")</f>
        <v/>
      </c>
      <c r="B110" s="53" t="str">
        <f>IF(Calculation!E110=Calculation!$A$142,Calculation!I110,"")</f>
        <v/>
      </c>
      <c r="C110" s="52" t="str">
        <f>IF(Calculation!E110=Calculation!$A$142,Calculation!D110,"")</f>
        <v/>
      </c>
      <c r="D110" s="52" t="str">
        <f>IF(Calculation!E110=Calculation!$A$142,Calculation!$A$105,"")</f>
        <v/>
      </c>
      <c r="E110" s="52" t="str">
        <f>IF(Calculation!E110=Calculation!$A$142,Calculation!C110,"")</f>
        <v/>
      </c>
      <c r="F110" s="52" t="str">
        <f>IF(Calculation!E110=Calculation!$A$142,Calculation!F110,"")</f>
        <v/>
      </c>
      <c r="G110" s="54" t="str">
        <f>IF(Calculation!E110=Calculation!$A$142,Calculation!G110,"")</f>
        <v/>
      </c>
      <c r="H110" s="54" t="str">
        <f>IF(Calculation!E110=Calculation!$A$142,Calculation!H110,"")</f>
        <v/>
      </c>
      <c r="I110" s="55"/>
    </row>
    <row r="111">
      <c r="A111" s="52" t="str">
        <f>IF(Calculation!E111=Calculation!$A$142,Calculation!B111,"")</f>
        <v/>
      </c>
      <c r="B111" s="53" t="str">
        <f>IF(Calculation!E111=Calculation!$A$142,Calculation!I111,"")</f>
        <v/>
      </c>
      <c r="C111" s="52" t="str">
        <f>IF(Calculation!E111=Calculation!$A$142,Calculation!D111,"")</f>
        <v/>
      </c>
      <c r="D111" s="52" t="str">
        <f>IF(Calculation!E111=Calculation!$A$142,Calculation!$A$105,"")</f>
        <v/>
      </c>
      <c r="E111" s="52" t="str">
        <f>IF(Calculation!E111=Calculation!$A$142,Calculation!C111,"")</f>
        <v/>
      </c>
      <c r="F111" s="52" t="str">
        <f>IF(Calculation!E111=Calculation!$A$142,Calculation!F111,"")</f>
        <v/>
      </c>
      <c r="G111" s="54" t="str">
        <f>IF(Calculation!E111=Calculation!$A$142,Calculation!G111,"")</f>
        <v/>
      </c>
      <c r="H111" s="54" t="str">
        <f>IF(Calculation!E111=Calculation!$A$142,Calculation!H111,"")</f>
        <v/>
      </c>
      <c r="I111" s="55"/>
    </row>
    <row r="112">
      <c r="A112" s="52" t="str">
        <f>IF(Calculation!E112=Calculation!$A$142,Calculation!B112,"")</f>
        <v/>
      </c>
      <c r="B112" s="53" t="str">
        <f>IF(Calculation!E112=Calculation!$A$142,Calculation!I112,"")</f>
        <v/>
      </c>
      <c r="C112" s="52" t="str">
        <f>IF(Calculation!E112=Calculation!$A$142,Calculation!D112,"")</f>
        <v/>
      </c>
      <c r="D112" s="52" t="str">
        <f>IF(Calculation!E112=Calculation!$A$142,Calculation!$A$105,"")</f>
        <v/>
      </c>
      <c r="E112" s="52" t="str">
        <f>IF(Calculation!E112=Calculation!$A$142,Calculation!C112,"")</f>
        <v/>
      </c>
      <c r="F112" s="52" t="str">
        <f>IF(Calculation!E112=Calculation!$A$142,Calculation!F112,"")</f>
        <v/>
      </c>
      <c r="G112" s="54" t="str">
        <f>IF(Calculation!E112=Calculation!$A$142,Calculation!G112,"")</f>
        <v/>
      </c>
      <c r="H112" s="54" t="str">
        <f>IF(Calculation!E112=Calculation!$A$142,Calculation!H112,"")</f>
        <v/>
      </c>
      <c r="I112" s="55"/>
    </row>
    <row r="113">
      <c r="A113" s="52" t="str">
        <f>IF(Calculation!E113=Calculation!$A$142,Calculation!B113,"")</f>
        <v/>
      </c>
      <c r="B113" s="53" t="str">
        <f>IF(Calculation!E113=Calculation!$A$142,Calculation!I113,"")</f>
        <v/>
      </c>
      <c r="C113" s="52" t="str">
        <f>IF(Calculation!E113=Calculation!$A$142,Calculation!D113,"")</f>
        <v/>
      </c>
      <c r="D113" s="52" t="str">
        <f>IF(Calculation!E113=Calculation!$A$142,Calculation!$A$105,"")</f>
        <v/>
      </c>
      <c r="E113" s="52" t="str">
        <f>IF(Calculation!E113=Calculation!$A$142,Calculation!C113,"")</f>
        <v/>
      </c>
      <c r="F113" s="52" t="str">
        <f>IF(Calculation!E113=Calculation!$A$142,Calculation!F113,"")</f>
        <v/>
      </c>
      <c r="G113" s="54" t="str">
        <f>IF(Calculation!E113=Calculation!$A$142,Calculation!G113,"")</f>
        <v/>
      </c>
      <c r="H113" s="54" t="str">
        <f>IF(Calculation!E113=Calculation!$A$142,Calculation!H113,"")</f>
        <v/>
      </c>
      <c r="I113" s="55"/>
    </row>
    <row r="114">
      <c r="A114" s="52" t="str">
        <f>IF(Calculation!E114=Calculation!$A$142,Calculation!B114,"")</f>
        <v/>
      </c>
      <c r="B114" s="53" t="str">
        <f>IF(Calculation!E114=Calculation!$A$142,Calculation!I114,"")</f>
        <v/>
      </c>
      <c r="C114" s="52" t="str">
        <f>IF(Calculation!E114=Calculation!$A$142,Calculation!D114,"")</f>
        <v/>
      </c>
      <c r="D114" s="52" t="str">
        <f>IF(Calculation!E114=Calculation!$A$142,Calculation!$A$105,"")</f>
        <v/>
      </c>
      <c r="E114" s="52" t="str">
        <f>IF(Calculation!E114=Calculation!$A$142,Calculation!C114,"")</f>
        <v/>
      </c>
      <c r="F114" s="52" t="str">
        <f>IF(Calculation!E114=Calculation!$A$142,Calculation!F114,"")</f>
        <v/>
      </c>
      <c r="G114" s="54" t="str">
        <f>IF(Calculation!E114=Calculation!$A$142,Calculation!G114,"")</f>
        <v/>
      </c>
      <c r="H114" s="54" t="str">
        <f>IF(Calculation!E114=Calculation!$A$142,Calculation!H114,"")</f>
        <v/>
      </c>
      <c r="I114" s="55"/>
    </row>
    <row r="115">
      <c r="A115" s="52" t="str">
        <f>IF(Calculation!E115=Calculation!$A$142,Calculation!B115,"")</f>
        <v/>
      </c>
      <c r="B115" s="53" t="str">
        <f>IF(Calculation!E115=Calculation!$A$142,Calculation!I115,"")</f>
        <v/>
      </c>
      <c r="C115" s="52" t="str">
        <f>IF(Calculation!E115=Calculation!$A$142,Calculation!D115,"")</f>
        <v/>
      </c>
      <c r="D115" s="52" t="str">
        <f>IF(Calculation!E115=Calculation!$A$142,Calculation!$A$105,"")</f>
        <v/>
      </c>
      <c r="E115" s="52" t="str">
        <f>IF(Calculation!E115=Calculation!$A$142,Calculation!C115,"")</f>
        <v/>
      </c>
      <c r="F115" s="52" t="str">
        <f>IF(Calculation!E115=Calculation!$A$142,Calculation!F115,"")</f>
        <v/>
      </c>
      <c r="G115" s="54" t="str">
        <f>IF(Calculation!E115=Calculation!$A$142,Calculation!G115,"")</f>
        <v/>
      </c>
      <c r="H115" s="54" t="str">
        <f>IF(Calculation!E115=Calculation!$A$142,Calculation!H115,"")</f>
        <v/>
      </c>
      <c r="I115" s="55"/>
    </row>
    <row r="116">
      <c r="A116" s="52" t="str">
        <f>IF(Calculation!E116=Calculation!$A$142,Calculation!B116,"")</f>
        <v/>
      </c>
      <c r="B116" s="53" t="str">
        <f>IF(Calculation!E116=Calculation!$A$142,Calculation!I116,"")</f>
        <v/>
      </c>
      <c r="C116" s="52" t="str">
        <f>IF(Calculation!E116=Calculation!$A$142,Calculation!D116,"")</f>
        <v/>
      </c>
      <c r="D116" s="52" t="str">
        <f>IF(Calculation!E116=Calculation!$A$142,Calculation!$A$105,"")</f>
        <v/>
      </c>
      <c r="E116" s="52" t="str">
        <f>IF(Calculation!E116=Calculation!$A$142,Calculation!C116,"")</f>
        <v/>
      </c>
      <c r="F116" s="52" t="str">
        <f>IF(Calculation!E116=Calculation!$A$142,Calculation!F116,"")</f>
        <v/>
      </c>
      <c r="G116" s="54" t="str">
        <f>IF(Calculation!E116=Calculation!$A$142,Calculation!G116,"")</f>
        <v/>
      </c>
      <c r="H116" s="54" t="str">
        <f>IF(Calculation!E116=Calculation!$A$142,Calculation!H116,"")</f>
        <v/>
      </c>
      <c r="I116" s="55"/>
    </row>
    <row r="117">
      <c r="A117" s="57" t="str">
        <f>IF(Calculation!E117=Calculation!$A$142,Calculation!B117,"")</f>
        <v/>
      </c>
      <c r="B117" s="53" t="str">
        <f>IF(Calculation!E117=Calculation!$A$142,Calculation!I117,"")</f>
        <v/>
      </c>
      <c r="C117" s="52" t="str">
        <f>IF(Calculation!E117=Calculation!$A$142,Calculation!D117,"")</f>
        <v>Nebil Divay</v>
      </c>
      <c r="D117" s="52" t="str">
        <f>IF(Calculation!E117=Calculation!$A$142,Calculation!$A$117,"")</f>
        <v>Prince Tyres</v>
      </c>
      <c r="E117" s="52" t="str">
        <f>IF(Calculation!E117=Calculation!$A$142,Calculation!C117,"")</f>
        <v>Short video design</v>
      </c>
      <c r="F117" s="52" t="str">
        <f>IF(Calculation!E117=Calculation!$A$142,Calculation!F117,"")</f>
        <v/>
      </c>
      <c r="G117" s="54">
        <f>IF(Calculation!E117=Calculation!$A$142,Calculation!G117,"")</f>
        <v>200</v>
      </c>
      <c r="H117" s="54">
        <f>IF(Calculation!E117=Calculation!$A$142,Calculation!H117,"")</f>
        <v>0</v>
      </c>
      <c r="I117" s="55"/>
    </row>
    <row r="118">
      <c r="A118" s="52" t="str">
        <f>IF(Calculation!E118=Calculation!$A$142,Calculation!B118,"")</f>
        <v/>
      </c>
      <c r="B118" s="53" t="str">
        <f>IF(Calculation!E118=Calculation!$A$142,Calculation!I118,"")</f>
        <v/>
      </c>
      <c r="C118" s="52" t="str">
        <f>IF(Calculation!E118=Calculation!$A$142,Calculation!D118,"")</f>
        <v/>
      </c>
      <c r="D118" s="52" t="str">
        <f>IF(Calculation!E118=Calculation!$A$142,Calculation!$A$117,"")</f>
        <v/>
      </c>
      <c r="E118" s="52" t="str">
        <f>IF(Calculation!E118=Calculation!$A$142,Calculation!C118,"")</f>
        <v/>
      </c>
      <c r="F118" s="52" t="str">
        <f>IF(Calculation!E118=Calculation!$A$142,Calculation!F118,"")</f>
        <v/>
      </c>
      <c r="G118" s="54" t="str">
        <f>IF(Calculation!E118=Calculation!$A$142,Calculation!G118,"")</f>
        <v/>
      </c>
      <c r="H118" s="54" t="str">
        <f>IF(Calculation!E118=Calculation!$A$142,Calculation!H118,"")</f>
        <v/>
      </c>
      <c r="I118" s="55"/>
    </row>
    <row r="119">
      <c r="A119" s="52" t="str">
        <f>IF(Calculation!E119=Calculation!$A$142,Calculation!B119,"")</f>
        <v/>
      </c>
      <c r="B119" s="53" t="str">
        <f>IF(Calculation!E119=Calculation!$A$142,Calculation!I119,"")</f>
        <v/>
      </c>
      <c r="C119" s="52" t="str">
        <f>IF(Calculation!E119=Calculation!$A$142,Calculation!D119,"")</f>
        <v/>
      </c>
      <c r="D119" s="52" t="str">
        <f>IF(Calculation!E119=Calculation!$A$142,Calculation!$A$117,"")</f>
        <v/>
      </c>
      <c r="E119" s="52" t="str">
        <f>IF(Calculation!E119=Calculation!$A$142,Calculation!C119,"")</f>
        <v/>
      </c>
      <c r="F119" s="52" t="str">
        <f>IF(Calculation!E119=Calculation!$A$142,Calculation!F119,"")</f>
        <v/>
      </c>
      <c r="G119" s="54" t="str">
        <f>IF(Calculation!E119=Calculation!$A$142,Calculation!G119,"")</f>
        <v/>
      </c>
      <c r="H119" s="54" t="str">
        <f>IF(Calculation!E119=Calculation!$A$142,Calculation!H119,"")</f>
        <v/>
      </c>
      <c r="I119" s="55"/>
    </row>
    <row r="120">
      <c r="A120" s="52" t="str">
        <f>IF(Calculation!E120=Calculation!$A$142,Calculation!B120,"")</f>
        <v/>
      </c>
      <c r="B120" s="53" t="str">
        <f>IF(Calculation!E120=Calculation!$A$142,Calculation!I120,"")</f>
        <v/>
      </c>
      <c r="C120" s="52" t="str">
        <f>IF(Calculation!E120=Calculation!$A$142,Calculation!D120,"")</f>
        <v/>
      </c>
      <c r="D120" s="52" t="str">
        <f>IF(Calculation!E120=Calculation!$A$142,Calculation!$A$117,"")</f>
        <v/>
      </c>
      <c r="E120" s="52" t="str">
        <f>IF(Calculation!E120=Calculation!$A$142,Calculation!C120,"")</f>
        <v/>
      </c>
      <c r="F120" s="52" t="str">
        <f>IF(Calculation!E120=Calculation!$A$142,Calculation!F120,"")</f>
        <v/>
      </c>
      <c r="G120" s="54" t="str">
        <f>IF(Calculation!E120=Calculation!$A$142,Calculation!G120,"")</f>
        <v/>
      </c>
      <c r="H120" s="54" t="str">
        <f>IF(Calculation!E120=Calculation!$A$142,Calculation!H120,"")</f>
        <v/>
      </c>
      <c r="I120" s="55"/>
    </row>
    <row r="121">
      <c r="A121" s="52" t="str">
        <f>IF(Calculation!E121=Calculation!$A$142,Calculation!B121,"")</f>
        <v/>
      </c>
      <c r="B121" s="53" t="str">
        <f>IF(Calculation!E121=Calculation!$A$142,Calculation!I121,"")</f>
        <v/>
      </c>
      <c r="C121" s="52" t="str">
        <f>IF(Calculation!E121=Calculation!$A$142,Calculation!D121,"")</f>
        <v/>
      </c>
      <c r="D121" s="52" t="str">
        <f>IF(Calculation!E121=Calculation!$A$142,Calculation!$A$117,"")</f>
        <v/>
      </c>
      <c r="E121" s="52" t="str">
        <f>IF(Calculation!E121=Calculation!$A$142,Calculation!C121,"")</f>
        <v/>
      </c>
      <c r="F121" s="52" t="str">
        <f>IF(Calculation!E121=Calculation!$A$142,Calculation!F121,"")</f>
        <v/>
      </c>
      <c r="G121" s="54" t="str">
        <f>IF(Calculation!E121=Calculation!$A$142,Calculation!G121,"")</f>
        <v/>
      </c>
      <c r="H121" s="54" t="str">
        <f>IF(Calculation!E121=Calculation!$A$142,Calculation!H121,"")</f>
        <v/>
      </c>
      <c r="I121" s="55"/>
    </row>
    <row r="122">
      <c r="A122" s="52" t="str">
        <f>IF(Calculation!E122=Calculation!$A$142,Calculation!B122,"")</f>
        <v/>
      </c>
      <c r="B122" s="53" t="str">
        <f>IF(Calculation!E122=Calculation!$A$142,Calculation!I122,"")</f>
        <v/>
      </c>
      <c r="C122" s="52" t="str">
        <f>IF(Calculation!E122=Calculation!$A$142,Calculation!D122,"")</f>
        <v/>
      </c>
      <c r="D122" s="52" t="str">
        <f>IF(Calculation!E122=Calculation!$A$142,Calculation!$A$117,"")</f>
        <v/>
      </c>
      <c r="E122" s="52" t="str">
        <f>IF(Calculation!E122=Calculation!$A$142,Calculation!C122,"")</f>
        <v/>
      </c>
      <c r="F122" s="52" t="str">
        <f>IF(Calculation!E122=Calculation!$A$142,Calculation!F122,"")</f>
        <v/>
      </c>
      <c r="G122" s="54" t="str">
        <f>IF(Calculation!E122=Calculation!$A$142,Calculation!G122,"")</f>
        <v/>
      </c>
      <c r="H122" s="54" t="str">
        <f>IF(Calculation!E122=Calculation!$A$142,Calculation!H122,"")</f>
        <v/>
      </c>
      <c r="I122" s="55"/>
    </row>
    <row r="123">
      <c r="A123" s="52" t="str">
        <f>IF(Calculation!E123=Calculation!$A$142,Calculation!B123,"")</f>
        <v/>
      </c>
      <c r="B123" s="53" t="str">
        <f>IF(Calculation!E123=Calculation!$A$142,Calculation!I123,"")</f>
        <v/>
      </c>
      <c r="C123" s="52" t="str">
        <f>IF(Calculation!E123=Calculation!$A$142,Calculation!D123,"")</f>
        <v/>
      </c>
      <c r="D123" s="52" t="str">
        <f>IF(Calculation!E123=Calculation!$A$142,Calculation!$A$117,"")</f>
        <v/>
      </c>
      <c r="E123" s="52" t="str">
        <f>IF(Calculation!E123=Calculation!$A$142,Calculation!C123,"")</f>
        <v/>
      </c>
      <c r="F123" s="52" t="str">
        <f>IF(Calculation!E123=Calculation!$A$142,Calculation!F123,"")</f>
        <v/>
      </c>
      <c r="G123" s="54" t="str">
        <f>IF(Calculation!E123=Calculation!$A$142,Calculation!G123,"")</f>
        <v/>
      </c>
      <c r="H123" s="54" t="str">
        <f>IF(Calculation!E123=Calculation!$A$142,Calculation!H123,"")</f>
        <v/>
      </c>
      <c r="I123" s="55"/>
    </row>
    <row r="124">
      <c r="A124" s="52" t="str">
        <f>IF(Calculation!E124=Calculation!$A$142,Calculation!B124,"")</f>
        <v/>
      </c>
      <c r="B124" s="53" t="str">
        <f>IF(Calculation!E124=Calculation!$A$142,Calculation!I124,"")</f>
        <v/>
      </c>
      <c r="C124" s="52" t="str">
        <f>IF(Calculation!E124=Calculation!$A$142,Calculation!D124,"")</f>
        <v/>
      </c>
      <c r="D124" s="52" t="str">
        <f>IF(Calculation!E124=Calculation!$A$142,Calculation!$A$117,"")</f>
        <v/>
      </c>
      <c r="E124" s="52" t="str">
        <f>IF(Calculation!E124=Calculation!$A$142,Calculation!C124,"")</f>
        <v/>
      </c>
      <c r="F124" s="52" t="str">
        <f>IF(Calculation!E124=Calculation!$A$142,Calculation!F124,"")</f>
        <v/>
      </c>
      <c r="G124" s="54" t="str">
        <f>IF(Calculation!E124=Calculation!$A$142,Calculation!G124,"")</f>
        <v/>
      </c>
      <c r="H124" s="54" t="str">
        <f>IF(Calculation!E124=Calculation!$A$142,Calculation!H124,"")</f>
        <v/>
      </c>
      <c r="I124" s="55"/>
    </row>
    <row r="125">
      <c r="A125" s="52" t="str">
        <f>IF(Calculation!E125=Calculation!$A$142,Calculation!B125,"")</f>
        <v/>
      </c>
      <c r="B125" s="53" t="str">
        <f>IF(Calculation!E125=Calculation!$A$142,Calculation!I125,"")</f>
        <v/>
      </c>
      <c r="C125" s="52" t="str">
        <f>IF(Calculation!E125=Calculation!$A$142,Calculation!D125,"")</f>
        <v/>
      </c>
      <c r="D125" s="52" t="str">
        <f>IF(Calculation!E125=Calculation!$A$142,Calculation!$A$117,"")</f>
        <v/>
      </c>
      <c r="E125" s="52" t="str">
        <f>IF(Calculation!E125=Calculation!$A$142,Calculation!C125,"")</f>
        <v/>
      </c>
      <c r="F125" s="52" t="str">
        <f>IF(Calculation!E125=Calculation!$A$142,Calculation!F125,"")</f>
        <v/>
      </c>
      <c r="G125" s="54" t="str">
        <f>IF(Calculation!E125=Calculation!$A$142,Calculation!G125,"")</f>
        <v/>
      </c>
      <c r="H125" s="54" t="str">
        <f>IF(Calculation!E125=Calculation!$A$142,Calculation!H125,"")</f>
        <v/>
      </c>
      <c r="I125" s="55"/>
    </row>
    <row r="150">
      <c r="A150" s="59"/>
      <c r="B150" s="59"/>
      <c r="C150" s="59"/>
      <c r="D150" s="60"/>
      <c r="E150" s="59"/>
      <c r="F150" s="59"/>
      <c r="G150" s="59"/>
      <c r="H150" s="59"/>
      <c r="I150" s="61"/>
    </row>
    <row r="151">
      <c r="A151" s="62"/>
      <c r="B151" s="62"/>
      <c r="C151" s="62"/>
      <c r="D151" s="63"/>
      <c r="E151" s="62"/>
      <c r="F151" s="62"/>
      <c r="G151" s="62"/>
      <c r="H151" s="62"/>
      <c r="I151" s="64"/>
    </row>
    <row r="152">
      <c r="A152" s="65" t="s">
        <v>53</v>
      </c>
      <c r="E152" s="62"/>
      <c r="F152" s="62"/>
      <c r="G152" s="62"/>
      <c r="H152" s="62"/>
      <c r="I152" s="64"/>
    </row>
    <row r="153">
      <c r="A153" s="66" t="s">
        <v>54</v>
      </c>
      <c r="E153" s="62"/>
      <c r="F153" s="62"/>
      <c r="G153" s="62"/>
      <c r="H153" s="62"/>
      <c r="I153" s="64"/>
    </row>
    <row r="154">
      <c r="A154" s="67" t="s">
        <v>55</v>
      </c>
      <c r="E154" s="62"/>
      <c r="F154" s="62"/>
      <c r="G154" s="62"/>
      <c r="H154" s="62"/>
      <c r="I154" s="64"/>
    </row>
    <row r="155">
      <c r="A155" s="68" t="s">
        <v>56</v>
      </c>
      <c r="E155" s="69"/>
      <c r="F155" s="69"/>
      <c r="G155" s="69"/>
      <c r="H155" s="69"/>
      <c r="I155" s="70"/>
    </row>
    <row r="156">
      <c r="A156" s="71">
        <v>9.074024369E9</v>
      </c>
      <c r="D156" s="72"/>
      <c r="E156" s="62"/>
      <c r="F156" s="62"/>
      <c r="G156" s="62"/>
      <c r="H156" s="62"/>
      <c r="I156" s="64"/>
    </row>
    <row r="157">
      <c r="A157" s="73" t="s">
        <v>57</v>
      </c>
      <c r="F157" s="62"/>
      <c r="G157" s="62"/>
      <c r="H157" s="69"/>
      <c r="I157" s="70"/>
    </row>
    <row r="158">
      <c r="A158" s="74" t="s">
        <v>58</v>
      </c>
      <c r="D158" s="75">
        <v>45462.0</v>
      </c>
      <c r="F158" s="62"/>
      <c r="G158" s="62"/>
      <c r="H158" s="69"/>
      <c r="I158" s="70"/>
    </row>
    <row r="159">
      <c r="A159" s="76"/>
      <c r="D159" s="62"/>
      <c r="F159" s="62"/>
      <c r="H159" s="69"/>
      <c r="I159" s="70"/>
    </row>
    <row r="160">
      <c r="A160" s="77" t="s">
        <v>59</v>
      </c>
      <c r="D160" s="77" t="s">
        <v>60</v>
      </c>
      <c r="F160" s="77" t="s">
        <v>61</v>
      </c>
      <c r="H160" s="69"/>
      <c r="I160" s="70"/>
    </row>
    <row r="161">
      <c r="A161" s="78" t="str">
        <f>Calculation!$A$142</f>
        <v>Ram</v>
      </c>
      <c r="D161" s="78" t="str">
        <f>Calculation!$A$142</f>
        <v>Ram</v>
      </c>
      <c r="F161" s="79">
        <v>123456.0</v>
      </c>
      <c r="H161" s="69"/>
      <c r="I161" s="70"/>
    </row>
    <row r="162">
      <c r="A162" s="78" t="s">
        <v>62</v>
      </c>
      <c r="D162" s="72"/>
      <c r="F162" s="62"/>
      <c r="H162" s="69"/>
      <c r="I162" s="70"/>
    </row>
    <row r="163">
      <c r="A163" s="78" t="s">
        <v>63</v>
      </c>
      <c r="D163" s="80" t="s">
        <v>64</v>
      </c>
      <c r="F163" s="80" t="s">
        <v>65</v>
      </c>
      <c r="H163" s="69"/>
      <c r="I163" s="70"/>
    </row>
    <row r="164">
      <c r="A164" s="78" t="s">
        <v>66</v>
      </c>
      <c r="D164" s="78" t="s">
        <v>67</v>
      </c>
      <c r="F164" s="75">
        <v>36531.0</v>
      </c>
      <c r="H164" s="69"/>
      <c r="I164" s="70"/>
    </row>
    <row r="165">
      <c r="A165" s="81"/>
      <c r="B165" s="82"/>
      <c r="C165" s="82"/>
      <c r="D165" s="81"/>
      <c r="E165" s="82"/>
      <c r="F165" s="81"/>
      <c r="G165" s="82"/>
      <c r="H165" s="62"/>
      <c r="I165" s="64"/>
    </row>
    <row r="166">
      <c r="A166" s="62"/>
      <c r="B166" s="62"/>
      <c r="C166" s="62"/>
      <c r="D166" s="62"/>
      <c r="E166" s="69"/>
      <c r="F166" s="62"/>
      <c r="G166" s="62"/>
      <c r="H166" s="69"/>
      <c r="I166" s="70"/>
    </row>
    <row r="167">
      <c r="A167" s="83" t="s">
        <v>68</v>
      </c>
      <c r="E167" s="84" t="s">
        <v>49</v>
      </c>
      <c r="F167" s="84" t="s">
        <v>69</v>
      </c>
      <c r="G167" s="84" t="s">
        <v>70</v>
      </c>
      <c r="H167" s="69"/>
      <c r="I167" s="70"/>
    </row>
    <row r="168">
      <c r="A168" s="85" t="s">
        <v>34</v>
      </c>
      <c r="E168" s="86">
        <f>SUMIFS(Calculation!$F$3:$F$125,Calculation!$C$3:$C$125,"Short Video Design",Calculation!$E$3:$E$125,Calculation!$A$142)</f>
        <v>2</v>
      </c>
      <c r="F168" s="87">
        <f>(Calculation!B142)</f>
        <v>200</v>
      </c>
      <c r="G168" s="88">
        <f t="shared" ref="G168:G172" si="1">product(E168,F168)</f>
        <v>400</v>
      </c>
      <c r="H168" s="69"/>
      <c r="I168" s="70"/>
    </row>
    <row r="169">
      <c r="A169" s="89" t="s">
        <v>35</v>
      </c>
      <c r="E169" s="86">
        <f>SUMIFS(Calculation!$F$3:$F$125,Calculation!$C$3:$C$125,"Long Video Design",Calculation!$E$3:$E$125,Calculation!$A$142)</f>
        <v>0</v>
      </c>
      <c r="F169" s="87">
        <f>(Calculation!C$142)</f>
        <v>300</v>
      </c>
      <c r="G169" s="90">
        <f t="shared" si="1"/>
        <v>0</v>
      </c>
      <c r="H169" s="69"/>
      <c r="I169" s="70"/>
    </row>
    <row r="170">
      <c r="A170" s="91" t="s">
        <v>25</v>
      </c>
      <c r="E170" s="86">
        <f>SUMIFS(Calculation!$F$3:$F$125,Calculation!$C$3:$C$125,"Content for Poster",Calculation!$E$3:$E$125,Calculation!$A$142)</f>
        <v>2</v>
      </c>
      <c r="F170" s="87">
        <f>(Calculation!D$142)</f>
        <v>50</v>
      </c>
      <c r="G170" s="88">
        <f t="shared" si="1"/>
        <v>100</v>
      </c>
      <c r="H170" s="69"/>
      <c r="I170" s="70"/>
    </row>
    <row r="171">
      <c r="A171" s="92" t="s">
        <v>36</v>
      </c>
      <c r="E171" s="86">
        <f>SUMIFS(Calculation!$F$3:$F$125,Calculation!$C$3:$C$125,"Content for Video",Calculation!$E$3:$E$125,Calculation!$A$142)</f>
        <v>0</v>
      </c>
      <c r="F171" s="87">
        <f>(Calculation!E$142)</f>
        <v>150</v>
      </c>
      <c r="G171" s="90">
        <f t="shared" si="1"/>
        <v>0</v>
      </c>
      <c r="H171" s="69"/>
      <c r="I171" s="70"/>
    </row>
    <row r="172">
      <c r="A172" s="93" t="s">
        <v>16</v>
      </c>
      <c r="B172" s="93"/>
      <c r="C172" s="94"/>
      <c r="D172" s="94"/>
      <c r="E172" s="86">
        <f>SUMIFS(Calculation!$F$3:$F$125,Calculation!$C$3:$C$125,"Poster Design",Calculation!$E$3:$E$125,Calculation!$A$142)</f>
        <v>2</v>
      </c>
      <c r="F172" s="95">
        <f>(Calculation!F$142)</f>
        <v>100</v>
      </c>
      <c r="G172" s="96">
        <f t="shared" si="1"/>
        <v>200</v>
      </c>
      <c r="H172" s="69"/>
      <c r="I172" s="70"/>
    </row>
    <row r="173">
      <c r="A173" s="97" t="s">
        <v>71</v>
      </c>
      <c r="B173" s="97"/>
      <c r="C173" s="62"/>
      <c r="F173" s="98" t="s">
        <v>72</v>
      </c>
      <c r="G173" s="99">
        <f>sum(G168:G172)</f>
        <v>700</v>
      </c>
      <c r="H173" s="62"/>
      <c r="I173" s="64"/>
    </row>
    <row r="174">
      <c r="A174" s="62"/>
      <c r="B174" s="62"/>
      <c r="C174" s="62"/>
      <c r="F174" s="98" t="s">
        <v>73</v>
      </c>
      <c r="G174" s="100">
        <v>0.0</v>
      </c>
      <c r="H174" s="62"/>
      <c r="I174" s="64"/>
    </row>
    <row r="175">
      <c r="A175" s="69"/>
      <c r="B175" s="69"/>
      <c r="C175" s="69"/>
      <c r="D175" s="69"/>
      <c r="E175" s="69"/>
      <c r="F175" s="101">
        <f>sum(G173,G174)</f>
        <v>700</v>
      </c>
      <c r="H175" s="69"/>
      <c r="I175" s="70"/>
    </row>
    <row r="176">
      <c r="A176" s="102"/>
      <c r="B176" s="102"/>
      <c r="C176" s="69"/>
      <c r="D176" s="69"/>
      <c r="E176" s="69"/>
      <c r="F176" s="69"/>
      <c r="G176" s="69"/>
      <c r="H176" s="69"/>
      <c r="I176" s="70"/>
    </row>
    <row r="177">
      <c r="I177" s="103"/>
    </row>
    <row r="178">
      <c r="I178" s="103"/>
    </row>
    <row r="179">
      <c r="I179" s="103"/>
    </row>
    <row r="180">
      <c r="I180" s="103"/>
    </row>
    <row r="181">
      <c r="I181" s="103"/>
    </row>
    <row r="182">
      <c r="I182" s="103"/>
    </row>
    <row r="183">
      <c r="I183" s="103"/>
    </row>
    <row r="184">
      <c r="I184" s="103"/>
    </row>
    <row r="185">
      <c r="I185" s="103"/>
    </row>
    <row r="186">
      <c r="I186" s="103"/>
    </row>
    <row r="187">
      <c r="I187" s="103"/>
    </row>
    <row r="188">
      <c r="I188" s="103"/>
    </row>
    <row r="189">
      <c r="A189" s="104"/>
      <c r="B189" s="104"/>
      <c r="C189" s="104"/>
      <c r="D189" s="104"/>
      <c r="E189" s="104"/>
      <c r="F189" s="104"/>
      <c r="G189" s="104"/>
      <c r="H189" s="104"/>
      <c r="I189" s="105"/>
    </row>
  </sheetData>
  <mergeCells count="37">
    <mergeCell ref="A1:I1"/>
    <mergeCell ref="A152:D152"/>
    <mergeCell ref="A153:D153"/>
    <mergeCell ref="A155:D155"/>
    <mergeCell ref="A156:C156"/>
    <mergeCell ref="A157:E157"/>
    <mergeCell ref="D158:E158"/>
    <mergeCell ref="A158:C158"/>
    <mergeCell ref="A159:C159"/>
    <mergeCell ref="D159:E159"/>
    <mergeCell ref="F159:G159"/>
    <mergeCell ref="A160:C160"/>
    <mergeCell ref="D160:E160"/>
    <mergeCell ref="F160:G160"/>
    <mergeCell ref="D163:E163"/>
    <mergeCell ref="F163:G163"/>
    <mergeCell ref="A161:C161"/>
    <mergeCell ref="D161:E161"/>
    <mergeCell ref="F161:G161"/>
    <mergeCell ref="A162:C162"/>
    <mergeCell ref="D162:E162"/>
    <mergeCell ref="F162:G162"/>
    <mergeCell ref="A163:C163"/>
    <mergeCell ref="A168:D168"/>
    <mergeCell ref="A169:D169"/>
    <mergeCell ref="A170:D170"/>
    <mergeCell ref="A171:D171"/>
    <mergeCell ref="C173:E173"/>
    <mergeCell ref="C174:E174"/>
    <mergeCell ref="F175:G175"/>
    <mergeCell ref="A164:C164"/>
    <mergeCell ref="D164:E164"/>
    <mergeCell ref="F164:G164"/>
    <mergeCell ref="A165:C165"/>
    <mergeCell ref="D165:E165"/>
    <mergeCell ref="F165:G165"/>
    <mergeCell ref="A167:D167"/>
  </mergeCells>
  <dataValidations>
    <dataValidation type="custom" allowBlank="1" showDropDown="1" sqref="D158 F164">
      <formula1>OR(NOT(ISERROR(DATEVALUE(D158))), AND(ISNUMBER(D158), LEFT(CELL("format", D158))="D"))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9.13"/>
    <col customWidth="1" min="3" max="3" width="18.63"/>
    <col customWidth="1" min="4" max="4" width="20.5"/>
    <col customWidth="1" min="5" max="5" width="17.63"/>
    <col customWidth="1" min="6" max="6" width="18.75"/>
    <col customWidth="1" min="7" max="7" width="19.25"/>
    <col customWidth="1" min="8" max="9" width="17.38"/>
    <col customWidth="1" min="10" max="10" width="15.13"/>
  </cols>
  <sheetData>
    <row r="1" ht="42.0" customHeight="1">
      <c r="A1" s="49" t="s">
        <v>74</v>
      </c>
      <c r="J1" s="50"/>
      <c r="M1" s="59"/>
      <c r="N1" s="59"/>
      <c r="O1" s="59"/>
      <c r="P1" s="60"/>
      <c r="Q1" s="59"/>
      <c r="R1" s="59"/>
      <c r="S1" s="59"/>
      <c r="T1" s="59"/>
      <c r="U1" s="61"/>
    </row>
    <row r="2" ht="29.25" customHeight="1">
      <c r="A2" s="51" t="s">
        <v>45</v>
      </c>
      <c r="B2" s="51" t="s">
        <v>46</v>
      </c>
      <c r="C2" s="51" t="s">
        <v>47</v>
      </c>
      <c r="D2" s="51" t="s">
        <v>41</v>
      </c>
      <c r="E2" s="51" t="s">
        <v>48</v>
      </c>
      <c r="F2" s="51" t="s">
        <v>49</v>
      </c>
      <c r="G2" s="51" t="s">
        <v>50</v>
      </c>
      <c r="H2" s="51" t="s">
        <v>51</v>
      </c>
      <c r="I2" s="51" t="s">
        <v>52</v>
      </c>
      <c r="M2" s="62"/>
      <c r="N2" s="62"/>
      <c r="O2" s="62"/>
      <c r="P2" s="63"/>
      <c r="Q2" s="62"/>
      <c r="R2" s="62"/>
      <c r="S2" s="62"/>
      <c r="T2" s="62"/>
      <c r="U2" s="64"/>
    </row>
    <row r="3" ht="27.75" customHeight="1">
      <c r="A3" s="52" t="str">
        <f>IF(Calculation!E3=Calculation!$A$143,Calculation!B3,"")</f>
        <v/>
      </c>
      <c r="B3" s="53" t="str">
        <f>IF(Calculation!E3=Calculation!$A$143,Calculation!I3,"")</f>
        <v/>
      </c>
      <c r="C3" s="52" t="str">
        <f>IF(Calculation!E3=Calculation!$A$143,Calculation!D3,"")</f>
        <v/>
      </c>
      <c r="D3" s="52" t="str">
        <f>IF(Calculation!E3=Calculation!$A$143,Calculation!$A$3,"")</f>
        <v/>
      </c>
      <c r="E3" s="52" t="str">
        <f>IF(Calculation!E3=Calculation!$A$143,Calculation!C3,"")</f>
        <v/>
      </c>
      <c r="F3" s="52" t="str">
        <f>IF(Calculation!E3=Calculation!$A$143,Calculation!F3,"")</f>
        <v/>
      </c>
      <c r="G3" s="54" t="str">
        <f>IF(Calculation!E3=Calculation!$A$143,Calculation!G3,"")</f>
        <v/>
      </c>
      <c r="H3" s="54" t="str">
        <f>IF(Calculation!E3=Calculation!$A$143,Calculation!H3,"")</f>
        <v/>
      </c>
      <c r="I3" s="58">
        <f>SUMIF(Calculation!E3:E125,Calculation!$A$143,Calculation!H3:Z125)</f>
        <v>0</v>
      </c>
      <c r="M3" s="65" t="s">
        <v>53</v>
      </c>
      <c r="Q3" s="62"/>
      <c r="R3" s="62"/>
      <c r="S3" s="62"/>
      <c r="T3" s="62"/>
      <c r="U3" s="64"/>
    </row>
    <row r="4" ht="20.25" customHeight="1">
      <c r="A4" s="52" t="str">
        <f>IF(Calculation!E4=Calculation!$A$143,Calculation!B4,"")</f>
        <v/>
      </c>
      <c r="B4" s="53" t="str">
        <f>IF(Calculation!E4=Calculation!$A$143,Calculation!I4,"")</f>
        <v/>
      </c>
      <c r="C4" s="52" t="str">
        <f>IF(Calculation!E4=Calculation!$A$143,Calculation!D4,"")</f>
        <v/>
      </c>
      <c r="D4" s="52" t="str">
        <f>IF(Calculation!E4=Calculation!$A$143,Calculation!$A$3,"")</f>
        <v/>
      </c>
      <c r="E4" s="52" t="str">
        <f>IF(Calculation!E4=Calculation!$A$143,Calculation!C4,"")</f>
        <v/>
      </c>
      <c r="F4" s="52" t="str">
        <f>IF(Calculation!E4=Calculation!$A$143,Calculation!F4,"")</f>
        <v/>
      </c>
      <c r="G4" s="54" t="str">
        <f>IF(Calculation!E4=Calculation!$A$143,Calculation!G4,"")</f>
        <v/>
      </c>
      <c r="H4" s="54" t="str">
        <f>IF(Calculation!E4=Calculation!$A$143,Calculation!H4,"")</f>
        <v/>
      </c>
      <c r="I4" s="55"/>
      <c r="M4" s="106" t="s">
        <v>75</v>
      </c>
      <c r="Q4" s="62"/>
      <c r="R4" s="62"/>
      <c r="S4" s="62"/>
      <c r="T4" s="62"/>
      <c r="U4" s="64"/>
    </row>
    <row r="5">
      <c r="A5" s="52" t="str">
        <f>IF(Calculation!E5=Calculation!$A$143,Calculation!B5,"")</f>
        <v/>
      </c>
      <c r="B5" s="53" t="str">
        <f>IF(Calculation!E5=Calculation!$A$143,Calculation!I5,"")</f>
        <v/>
      </c>
      <c r="C5" s="52" t="str">
        <f>IF(Calculation!E5=Calculation!$A$143,Calculation!D5,"")</f>
        <v/>
      </c>
      <c r="D5" s="52" t="str">
        <f>IF(Calculation!E5=Calculation!$A$143,Calculation!$A$3,"")</f>
        <v/>
      </c>
      <c r="E5" s="52" t="str">
        <f>IF(Calculation!E5=Calculation!$A$143,Calculation!C5,"")</f>
        <v/>
      </c>
      <c r="F5" s="52" t="str">
        <f>IF(Calculation!E5=Calculation!$A$143,Calculation!F5,"")</f>
        <v/>
      </c>
      <c r="G5" s="54" t="str">
        <f>IF(Calculation!E5=Calculation!$A$143,Calculation!G5,"")</f>
        <v/>
      </c>
      <c r="H5" s="54" t="str">
        <f>IF(Calculation!E5=Calculation!$A$143,Calculation!H5,"")</f>
        <v/>
      </c>
      <c r="I5" s="55"/>
      <c r="M5" s="107" t="s">
        <v>76</v>
      </c>
      <c r="Q5" s="62"/>
      <c r="R5" s="62"/>
      <c r="S5" s="62"/>
      <c r="T5" s="62"/>
      <c r="U5" s="64"/>
    </row>
    <row r="6">
      <c r="A6" s="52" t="str">
        <f>IF(Calculation!E6=Calculation!$A$143,Calculation!B6,"")</f>
        <v/>
      </c>
      <c r="B6" s="53" t="str">
        <f>IF(Calculation!E6=Calculation!$A$143,Calculation!I6,"")</f>
        <v/>
      </c>
      <c r="C6" s="52" t="str">
        <f>IF(Calculation!E6=Calculation!$A$143,Calculation!D6,"")</f>
        <v/>
      </c>
      <c r="D6" s="52" t="str">
        <f>IF(Calculation!E6=Calculation!$A$143,Calculation!$A$3,"")</f>
        <v/>
      </c>
      <c r="E6" s="52" t="str">
        <f>IF(Calculation!E6=Calculation!$A$143,Calculation!C6,"")</f>
        <v/>
      </c>
      <c r="F6" s="52" t="str">
        <f>IF(Calculation!E6=Calculation!$A$143,Calculation!F6,"")</f>
        <v/>
      </c>
      <c r="G6" s="54" t="str">
        <f>IF(Calculation!E6=Calculation!$A$143,Calculation!G6,"")</f>
        <v/>
      </c>
      <c r="H6" s="54" t="str">
        <f>IF(Calculation!E6=Calculation!$A$143,Calculation!H6,"")</f>
        <v/>
      </c>
      <c r="I6" s="55"/>
      <c r="M6" s="78" t="s">
        <v>77</v>
      </c>
      <c r="P6" s="72"/>
      <c r="Q6" s="69"/>
      <c r="R6" s="69"/>
      <c r="S6" s="69"/>
      <c r="T6" s="69"/>
      <c r="U6" s="70"/>
    </row>
    <row r="7">
      <c r="A7" s="52" t="str">
        <f>IF(Calculation!E7=Calculation!$A$143,Calculation!B7,"")</f>
        <v/>
      </c>
      <c r="B7" s="53" t="str">
        <f>IF(Calculation!E7=Calculation!$A$143,Calculation!I7,"")</f>
        <v/>
      </c>
      <c r="C7" s="52" t="str">
        <f>IF(Calculation!E7=Calculation!$A$143,Calculation!D7,"")</f>
        <v/>
      </c>
      <c r="D7" s="52" t="str">
        <f>IF(Calculation!E7=Calculation!$A$143,Calculation!$A$3,"")</f>
        <v/>
      </c>
      <c r="E7" s="52" t="str">
        <f>IF(Calculation!E7=Calculation!$A$143,Calculation!C7,"")</f>
        <v/>
      </c>
      <c r="F7" s="52" t="str">
        <f>IF(Calculation!E7=Calculation!$A$143,Calculation!F7,"")</f>
        <v/>
      </c>
      <c r="G7" s="54" t="str">
        <f>IF(Calculation!E7=Calculation!$A$143,Calculation!G7,"")</f>
        <v/>
      </c>
      <c r="H7" s="54" t="str">
        <f>IF(Calculation!E7=Calculation!$A$143,Calculation!H7,"")</f>
        <v/>
      </c>
      <c r="I7" s="55"/>
      <c r="M7" s="62"/>
      <c r="N7" s="62"/>
      <c r="O7" s="62"/>
      <c r="P7" s="62"/>
      <c r="Q7" s="62"/>
      <c r="R7" s="62"/>
      <c r="S7" s="62"/>
      <c r="T7" s="62"/>
      <c r="U7" s="64"/>
    </row>
    <row r="8">
      <c r="A8" s="52" t="str">
        <f>IF(Calculation!E8=Calculation!$A$143,Calculation!B8,"")</f>
        <v/>
      </c>
      <c r="B8" s="53" t="str">
        <f>IF(Calculation!E8=Calculation!$A$143,Calculation!I8,"")</f>
        <v/>
      </c>
      <c r="C8" s="52" t="str">
        <f>IF(Calculation!E8=Calculation!$A$142,Calculation!D8,"")</f>
        <v/>
      </c>
      <c r="D8" s="52" t="str">
        <f>IF(Calculation!E8=Calculation!$A$143,Calculation!$A$3,"")</f>
        <v/>
      </c>
      <c r="E8" s="52" t="str">
        <f>IF(Calculation!E8=Calculation!$A$143,Calculation!C8,"")</f>
        <v/>
      </c>
      <c r="F8" s="52" t="str">
        <f>IF(Calculation!E8=Calculation!$A$143,Calculation!F8,"")</f>
        <v/>
      </c>
      <c r="G8" s="54" t="str">
        <f>IF(Calculation!E8=Calculation!$A$143,Calculation!G8,"")</f>
        <v/>
      </c>
      <c r="H8" s="54" t="str">
        <f>IF(Calculation!E8=Calculation!$A$143,Calculation!H8,"")</f>
        <v/>
      </c>
      <c r="I8" s="55"/>
      <c r="M8" s="108" t="s">
        <v>78</v>
      </c>
      <c r="R8" s="62"/>
      <c r="S8" s="62"/>
      <c r="T8" s="69"/>
      <c r="U8" s="70"/>
    </row>
    <row r="9">
      <c r="A9" s="52" t="str">
        <f>IF(Calculation!E9=Calculation!$A$143,Calculation!B9,"")</f>
        <v/>
      </c>
      <c r="B9" s="53" t="str">
        <f>IF(Calculation!E9=Calculation!$A$143,Calculation!I9,"")</f>
        <v/>
      </c>
      <c r="C9" s="52" t="str">
        <f>IF(Calculation!E9=Calculation!$A$143,Calculation!D9,"")</f>
        <v/>
      </c>
      <c r="D9" s="52" t="str">
        <f>IF(Calculation!E9=Calculation!$A$143,Calculation!$A$3,"")</f>
        <v/>
      </c>
      <c r="E9" s="52" t="str">
        <f>IF(Calculation!E9=Calculation!$A$143,Calculation!C9,"")</f>
        <v/>
      </c>
      <c r="F9" s="52" t="str">
        <f>IF(Calculation!E9=Calculation!$A$143,Calculation!F9,"")</f>
        <v/>
      </c>
      <c r="G9" s="54" t="str">
        <f>IF(Calculation!E9=Calculation!$A$143,Calculation!G9,"")</f>
        <v/>
      </c>
      <c r="H9" s="54" t="str">
        <f>IF(Calculation!E9=Calculation!$A$143,Calculation!H9,"")</f>
        <v/>
      </c>
      <c r="I9" s="55"/>
      <c r="M9" s="74" t="s">
        <v>58</v>
      </c>
      <c r="P9" s="75">
        <v>45462.0</v>
      </c>
      <c r="R9" s="62"/>
      <c r="S9" s="62"/>
      <c r="T9" s="69"/>
      <c r="U9" s="70"/>
    </row>
    <row r="10">
      <c r="A10" s="52" t="str">
        <f>IF(Calculation!E10=Calculation!$A$143,Calculation!B10,"")</f>
        <v/>
      </c>
      <c r="B10" s="53" t="str">
        <f>IF(Calculation!E10=Calculation!$A$143,Calculation!I10,"")</f>
        <v/>
      </c>
      <c r="C10" s="52" t="str">
        <f>IF(Calculation!E10=Calculation!$A$143,Calculation!D10,"")</f>
        <v/>
      </c>
      <c r="D10" s="52" t="str">
        <f>IF(Calculation!E10=Calculation!$A$143,Calculation!$A$3,"")</f>
        <v/>
      </c>
      <c r="E10" s="52" t="str">
        <f>IF(Calculation!E10=Calculation!$A$143,Calculation!C10,"")</f>
        <v/>
      </c>
      <c r="F10" s="52" t="str">
        <f>IF(Calculation!E10=Calculation!$A$143,Calculation!F10,"")</f>
        <v/>
      </c>
      <c r="G10" s="54" t="str">
        <f>IF(Calculation!E10=Calculation!$A$143,Calculation!G10,"")</f>
        <v/>
      </c>
      <c r="H10" s="54" t="str">
        <f>IF(Calculation!E10=Calculation!$A$143,Calculation!H10,"")</f>
        <v/>
      </c>
      <c r="I10" s="55"/>
      <c r="M10" s="76"/>
      <c r="P10" s="62"/>
      <c r="R10" s="62"/>
      <c r="T10" s="69"/>
      <c r="U10" s="70"/>
    </row>
    <row r="11">
      <c r="A11" s="52" t="str">
        <f>IF(Calculation!E11=Calculation!$A$143,Calculation!B11,"")</f>
        <v/>
      </c>
      <c r="B11" s="53" t="str">
        <f>IF(Calculation!E11=Calculation!$A$143,Calculation!I11,"")</f>
        <v/>
      </c>
      <c r="C11" s="52" t="str">
        <f>IF(Calculation!E11=Calculation!$A$143,Calculation!D11,"")</f>
        <v/>
      </c>
      <c r="D11" s="52" t="str">
        <f>IF(Calculation!E11=Calculation!$A$143,Calculation!$A$3,"")</f>
        <v/>
      </c>
      <c r="E11" s="52" t="str">
        <f>IF(Calculation!E11=Calculation!$A$143,Calculation!C11,"")</f>
        <v/>
      </c>
      <c r="F11" s="52" t="str">
        <f>IF(Calculation!E11=Calculation!$A$143,Calculation!F11,"")</f>
        <v/>
      </c>
      <c r="G11" s="54" t="str">
        <f>IF(Calculation!E11=Calculation!$A$143,Calculation!G11,"")</f>
        <v/>
      </c>
      <c r="H11" s="54" t="str">
        <f>IF(Calculation!E11=Calculation!$A$143,Calculation!H11,"")</f>
        <v/>
      </c>
      <c r="I11" s="55"/>
      <c r="M11" s="77" t="s">
        <v>59</v>
      </c>
      <c r="P11" s="77" t="s">
        <v>60</v>
      </c>
      <c r="R11" s="77" t="s">
        <v>61</v>
      </c>
      <c r="T11" s="69"/>
      <c r="U11" s="70"/>
    </row>
    <row r="12">
      <c r="A12" s="52" t="str">
        <f>IF(Calculation!E12=Calculation!$A$143,Calculation!B12,"")</f>
        <v/>
      </c>
      <c r="B12" s="53" t="str">
        <f>IF(Calculation!E12=Calculation!$A$143,Calculation!I12,"")</f>
        <v/>
      </c>
      <c r="C12" s="52" t="str">
        <f>IF(Calculation!E12=Calculation!$A$143,Calculation!D12,"")</f>
        <v/>
      </c>
      <c r="D12" s="52" t="str">
        <f>IF(Calculation!E12=Calculation!$A$143,Calculation!$A$3,"")</f>
        <v/>
      </c>
      <c r="E12" s="52" t="str">
        <f>IF(Calculation!E12=Calculation!$A$143,Calculation!C12,"")</f>
        <v/>
      </c>
      <c r="F12" s="52" t="str">
        <f>IF(Calculation!E12=Calculation!$A$143,Calculation!F12,"")</f>
        <v/>
      </c>
      <c r="G12" s="54" t="str">
        <f>IF(Calculation!E12=Calculation!$A$143,Calculation!G12,"")</f>
        <v/>
      </c>
      <c r="H12" s="54" t="str">
        <f>IF(Calculation!E12=Calculation!$A$143,Calculation!H12,"")</f>
        <v/>
      </c>
      <c r="I12" s="55"/>
      <c r="M12" s="78" t="str">
        <f>Calculation!A143</f>
        <v>Finan</v>
      </c>
      <c r="P12" s="78" t="str">
        <f>Calculation!A143</f>
        <v>Finan</v>
      </c>
      <c r="R12" s="79">
        <v>123456.0</v>
      </c>
      <c r="T12" s="69"/>
      <c r="U12" s="70"/>
    </row>
    <row r="13">
      <c r="A13" s="52" t="str">
        <f>IF(Calculation!E13=Calculation!$A$143,Calculation!B13,"")</f>
        <v/>
      </c>
      <c r="B13" s="53" t="str">
        <f>IF(Calculation!E13=Calculation!$A$143,Calculation!I13,"")</f>
        <v/>
      </c>
      <c r="C13" s="52" t="str">
        <f>IF(Calculation!E13=Calculation!$A$143,Calculation!D13,"")</f>
        <v/>
      </c>
      <c r="D13" s="52" t="str">
        <f>IF(Calculation!E13=Calculation!$A$143,Calculation!$A$3,"")</f>
        <v/>
      </c>
      <c r="E13" s="52" t="str">
        <f>IF(Calculation!E13=Calculation!$A$143,Calculation!C13,"")</f>
        <v/>
      </c>
      <c r="F13" s="52" t="str">
        <f>IF(Calculation!E13=Calculation!$A$143,Calculation!F13,"")</f>
        <v/>
      </c>
      <c r="G13" s="54" t="str">
        <f>IF(Calculation!E13=Calculation!$A$143,Calculation!G13,"")</f>
        <v/>
      </c>
      <c r="H13" s="54" t="str">
        <f>IF(Calculation!E13=Calculation!$A$143,Calculation!H13,"")</f>
        <v/>
      </c>
      <c r="I13" s="55"/>
      <c r="M13" s="78" t="s">
        <v>62</v>
      </c>
      <c r="P13" s="72"/>
      <c r="R13" s="62"/>
      <c r="T13" s="69"/>
      <c r="U13" s="70"/>
    </row>
    <row r="14">
      <c r="A14" s="52" t="str">
        <f>IF(Calculation!E14=Calculation!$A$143,Calculation!B14,"")</f>
        <v/>
      </c>
      <c r="B14" s="53" t="str">
        <f>IF(Calculation!E14=Calculation!$A$143,Calculation!I14,"")</f>
        <v/>
      </c>
      <c r="C14" s="52" t="str">
        <f>IF(Calculation!E14=Calculation!$A$143,Calculation!D14,"")</f>
        <v/>
      </c>
      <c r="D14" s="52" t="str">
        <f>IF(Calculation!E14=Calculation!$A$143,Calculation!$A$3,"")</f>
        <v/>
      </c>
      <c r="E14" s="52" t="str">
        <f>IF(Calculation!E14=Calculation!$A$143,Calculation!C14,"")</f>
        <v/>
      </c>
      <c r="F14" s="52" t="str">
        <f>IF(Calculation!E14=Calculation!$A$143,Calculation!F14,"")</f>
        <v/>
      </c>
      <c r="G14" s="54" t="str">
        <f>IF(Calculation!E14=Calculation!$A$143,Calculation!G14,"")</f>
        <v/>
      </c>
      <c r="H14" s="54" t="str">
        <f>IF(Calculation!E14=Calculation!$A$143,Calculation!H14,"")</f>
        <v/>
      </c>
      <c r="I14" s="55"/>
      <c r="M14" s="78" t="s">
        <v>63</v>
      </c>
      <c r="P14" s="80" t="s">
        <v>64</v>
      </c>
      <c r="R14" s="80" t="s">
        <v>65</v>
      </c>
      <c r="T14" s="69"/>
      <c r="U14" s="70"/>
    </row>
    <row r="15">
      <c r="A15" s="52" t="str">
        <f>IF(Calculation!E15=Calculation!$A$143,Calculation!B15,"")</f>
        <v/>
      </c>
      <c r="B15" s="53" t="str">
        <f>IF(Calculation!E15=Calculation!$A$143,Calculation!I15,"")</f>
        <v/>
      </c>
      <c r="C15" s="52" t="str">
        <f>IF(Calculation!E15=Calculation!$A$143,Calculation!D15,"")</f>
        <v/>
      </c>
      <c r="D15" s="52" t="str">
        <f>IF(Calculation!E15=Calculation!$A$143,Calculation!$A$3,"")</f>
        <v/>
      </c>
      <c r="E15" s="52" t="str">
        <f>IF(Calculation!E15=Calculation!$A$143,Calculation!C15,"")</f>
        <v/>
      </c>
      <c r="F15" s="52" t="str">
        <f>IF(Calculation!E15=Calculation!$A$143,Calculation!F15,"")</f>
        <v/>
      </c>
      <c r="G15" s="54" t="str">
        <f>IF(Calculation!E15=Calculation!$A$143,Calculation!G15,"")</f>
        <v/>
      </c>
      <c r="H15" s="54" t="str">
        <f>IF(Calculation!E15=Calculation!$A$143,Calculation!H15,"")</f>
        <v/>
      </c>
      <c r="I15" s="55"/>
      <c r="M15" s="78" t="s">
        <v>66</v>
      </c>
      <c r="P15" s="78" t="s">
        <v>67</v>
      </c>
      <c r="R15" s="75">
        <v>36531.0</v>
      </c>
      <c r="T15" s="69"/>
      <c r="U15" s="70"/>
    </row>
    <row r="16">
      <c r="A16" s="52" t="str">
        <f>IF(Calculation!E16=Calculation!$A$143,Calculation!B16,"")</f>
        <v/>
      </c>
      <c r="B16" s="53" t="str">
        <f>IF(Calculation!E16=Calculation!$A$143,Calculation!I16,"")</f>
        <v/>
      </c>
      <c r="C16" s="52" t="str">
        <f>IF(Calculation!E16=Calculation!$A$143,Calculation!D16,"")</f>
        <v/>
      </c>
      <c r="D16" s="52" t="str">
        <f>IF(Calculation!E16=Calculation!$A$143,Calculation!$A$16,"")</f>
        <v/>
      </c>
      <c r="E16" s="52" t="str">
        <f>IF(Calculation!E16=Calculation!$A$143,Calculation!C16,"")</f>
        <v/>
      </c>
      <c r="F16" s="52" t="str">
        <f>IF(Calculation!E16=Calculation!$A$143,Calculation!F16,"")</f>
        <v/>
      </c>
      <c r="G16" s="54" t="str">
        <f>IF(Calculation!E16=Calculation!$A$143,Calculation!G16,"")</f>
        <v/>
      </c>
      <c r="H16" s="54" t="str">
        <f>IF(Calculation!E16=Calculation!$A$143,Calculation!H16,"")</f>
        <v/>
      </c>
      <c r="I16" s="55"/>
      <c r="M16" s="81"/>
      <c r="N16" s="82"/>
      <c r="O16" s="82"/>
      <c r="P16" s="81"/>
      <c r="Q16" s="82"/>
      <c r="R16" s="81"/>
      <c r="S16" s="82"/>
      <c r="T16" s="62"/>
      <c r="U16" s="64"/>
    </row>
    <row r="17">
      <c r="A17" s="52" t="str">
        <f>IF(Calculation!E17=Calculation!$A$143,Calculation!B17,"")</f>
        <v/>
      </c>
      <c r="B17" s="53" t="str">
        <f>IF(Calculation!E17=Calculation!$A$143,Calculation!I17,"")</f>
        <v/>
      </c>
      <c r="C17" s="52" t="str">
        <f>IF(Calculation!E17=Calculation!$A$143,Calculation!D17,"")</f>
        <v/>
      </c>
      <c r="D17" s="52" t="str">
        <f>IF(Calculation!E17=Calculation!$A$143,Calculation!$A$16,"")</f>
        <v/>
      </c>
      <c r="E17" s="52" t="str">
        <f>IF(Calculation!E17=Calculation!$A$143,Calculation!C17,"")</f>
        <v/>
      </c>
      <c r="F17" s="52" t="str">
        <f>IF(Calculation!E17=Calculation!$A$143,Calculation!F17,"")</f>
        <v/>
      </c>
      <c r="G17" s="54" t="str">
        <f>IF(Calculation!E17=Calculation!$A$143,Calculation!G17,"")</f>
        <v/>
      </c>
      <c r="H17" s="54" t="str">
        <f>IF(Calculation!E17=Calculation!$A$143,Calculation!H17,"")</f>
        <v/>
      </c>
      <c r="I17" s="55"/>
      <c r="M17" s="62"/>
      <c r="N17" s="62"/>
      <c r="O17" s="62"/>
      <c r="P17" s="62"/>
      <c r="Q17" s="69"/>
      <c r="R17" s="62"/>
      <c r="S17" s="62"/>
      <c r="T17" s="69"/>
      <c r="U17" s="70"/>
    </row>
    <row r="18">
      <c r="A18" s="52" t="str">
        <f>IF(Calculation!E18=Calculation!$A$143,Calculation!B18,"")</f>
        <v/>
      </c>
      <c r="B18" s="53" t="str">
        <f>IF(Calculation!E18=Calculation!$A$143,Calculation!I18,"")</f>
        <v/>
      </c>
      <c r="C18" s="52" t="str">
        <f>IF(Calculation!E18=Calculation!$A$143,Calculation!D18,"")</f>
        <v/>
      </c>
      <c r="D18" s="52" t="str">
        <f>IF(Calculation!E18=Calculation!$A$143,Calculation!$A$16,"")</f>
        <v/>
      </c>
      <c r="E18" s="52" t="str">
        <f>IF(Calculation!E18=Calculation!$A$143,Calculation!C18,"")</f>
        <v/>
      </c>
      <c r="F18" s="52" t="str">
        <f>IF(Calculation!E18=Calculation!$A$143,Calculation!F18,"")</f>
        <v/>
      </c>
      <c r="G18" s="54" t="str">
        <f>IF(Calculation!E18=Calculation!$A$143,Calculation!G18,"")</f>
        <v/>
      </c>
      <c r="H18" s="54" t="str">
        <f>IF(Calculation!E18=Calculation!$A$143,Calculation!H18,"")</f>
        <v/>
      </c>
      <c r="I18" s="55"/>
      <c r="M18" s="83" t="s">
        <v>68</v>
      </c>
      <c r="Q18" s="84" t="s">
        <v>49</v>
      </c>
      <c r="R18" s="84" t="s">
        <v>69</v>
      </c>
      <c r="S18" s="84" t="s">
        <v>70</v>
      </c>
      <c r="T18" s="69"/>
      <c r="U18" s="70"/>
    </row>
    <row r="19" ht="23.25" customHeight="1">
      <c r="A19" s="52" t="str">
        <f>IF(Calculation!E19=Calculation!$A$143,Calculation!B19,"")</f>
        <v/>
      </c>
      <c r="B19" s="53" t="str">
        <f>IF(Calculation!E19=Calculation!$A$143,Calculation!I19,"")</f>
        <v/>
      </c>
      <c r="C19" s="52" t="str">
        <f>IF(Calculation!E19=Calculation!$A$143,Calculation!D19,"")</f>
        <v/>
      </c>
      <c r="D19" s="52" t="str">
        <f>IF(Calculation!E19=Calculation!$A$143,Calculation!$A$16,"")</f>
        <v/>
      </c>
      <c r="E19" s="52" t="str">
        <f>IF(Calculation!E19=Calculation!$A$143,Calculation!C19,"")</f>
        <v/>
      </c>
      <c r="F19" s="52" t="str">
        <f>IF(Calculation!E19=Calculation!$A$143,Calculation!F19,"")</f>
        <v/>
      </c>
      <c r="G19" s="54" t="str">
        <f>IF(Calculation!E19=Calculation!$A$143,Calculation!G19,"")</f>
        <v/>
      </c>
      <c r="H19" s="54" t="str">
        <f>IF(Calculation!E19=Calculation!$A$143,Calculation!H19,"")</f>
        <v/>
      </c>
      <c r="I19" s="55"/>
      <c r="M19" s="85" t="s">
        <v>34</v>
      </c>
      <c r="Q19" s="86">
        <f>SUMIFS(Calculation!$F$3:$F$125,Calculation!$C$3:$C$125,"Short Video Design",Calculation!$E$3:$E$125,Calculation!A143)</f>
        <v>0</v>
      </c>
      <c r="R19" s="87">
        <f>(Calculation!B143)</f>
        <v>100</v>
      </c>
      <c r="S19" s="88">
        <f t="shared" ref="S19:S23" si="1">product(Q19,R19)</f>
        <v>0</v>
      </c>
      <c r="T19" s="69"/>
      <c r="U19" s="70"/>
    </row>
    <row r="20" ht="18.0" customHeight="1">
      <c r="A20" s="52" t="str">
        <f>IF(Calculation!E20=Calculation!$A$143,Calculation!B20,"")</f>
        <v/>
      </c>
      <c r="B20" s="53" t="str">
        <f>IF(Calculation!E20=Calculation!$A$143,Calculation!I20,"")</f>
        <v/>
      </c>
      <c r="C20" s="52" t="str">
        <f>IF(Calculation!E20=Calculation!$A$143,Calculation!D20,"")</f>
        <v/>
      </c>
      <c r="D20" s="52" t="str">
        <f>IF(Calculation!E20=Calculation!$A$143,Calculation!$A$16,"")</f>
        <v/>
      </c>
      <c r="E20" s="52" t="str">
        <f>IF(Calculation!E20=Calculation!$A$143,Calculation!C20,"")</f>
        <v/>
      </c>
      <c r="F20" s="52" t="str">
        <f>IF(Calculation!E20=Calculation!$A$143,Calculation!F20,"")</f>
        <v/>
      </c>
      <c r="G20" s="54" t="str">
        <f>IF(Calculation!E20=Calculation!$A$143,Calculation!G20,"")</f>
        <v/>
      </c>
      <c r="H20" s="54" t="str">
        <f>IF(Calculation!E20=Calculation!$A$143,Calculation!H20,"")</f>
        <v/>
      </c>
      <c r="I20" s="55"/>
      <c r="M20" s="89" t="s">
        <v>35</v>
      </c>
      <c r="Q20" s="86">
        <f>SUMIFS(Calculation!$F$3:$F$125,Calculation!$C$3:$C$125,"Long Video Design",Calculation!$E$3:$E$125,Calculation!A143)</f>
        <v>0</v>
      </c>
      <c r="R20" s="87">
        <f>(Calculation!C143)</f>
        <v>200</v>
      </c>
      <c r="S20" s="90">
        <f t="shared" si="1"/>
        <v>0</v>
      </c>
      <c r="T20" s="69"/>
      <c r="U20" s="70"/>
    </row>
    <row r="21" ht="21.0" customHeight="1">
      <c r="A21" s="52" t="str">
        <f>IF(Calculation!E21=Calculation!$A$143,Calculation!B21,"")</f>
        <v/>
      </c>
      <c r="B21" s="53" t="str">
        <f>IF(Calculation!E21=Calculation!$A$143,Calculation!I21,"")</f>
        <v/>
      </c>
      <c r="C21" s="52" t="str">
        <f>IF(Calculation!E21=Calculation!$A$143,Calculation!D21,"")</f>
        <v/>
      </c>
      <c r="D21" s="52" t="str">
        <f>IF(Calculation!E21=Calculation!$A$143,Calculation!$A$16,"")</f>
        <v/>
      </c>
      <c r="E21" s="52" t="str">
        <f>IF(Calculation!E21=Calculation!$A$143,Calculation!C21,"")</f>
        <v/>
      </c>
      <c r="F21" s="52" t="str">
        <f>IF(Calculation!E21=Calculation!$A$143,Calculation!F21,"")</f>
        <v/>
      </c>
      <c r="G21" s="54" t="str">
        <f>IF(Calculation!E21=Calculation!$A$143,Calculation!G21,"")</f>
        <v/>
      </c>
      <c r="H21" s="54" t="str">
        <f>IF(Calculation!E21=Calculation!$A$143,Calculation!H21,"")</f>
        <v/>
      </c>
      <c r="I21" s="55"/>
      <c r="M21" s="91" t="s">
        <v>25</v>
      </c>
      <c r="Q21" s="86">
        <f>SUMIFS(Calculation!$F$3:$F$125,Calculation!$C$3:$C$125,"Content for Poster",Calculation!$E$3:$E$125,Calculation!A143)</f>
        <v>0</v>
      </c>
      <c r="R21" s="87">
        <f>(Calculation!D143)</f>
        <v>25</v>
      </c>
      <c r="S21" s="88">
        <f t="shared" si="1"/>
        <v>0</v>
      </c>
      <c r="T21" s="69"/>
      <c r="U21" s="70"/>
    </row>
    <row r="22" ht="21.0" customHeight="1">
      <c r="A22" s="52" t="str">
        <f>IF(Calculation!E22=Calculation!$A$143,Calculation!B22,"")</f>
        <v/>
      </c>
      <c r="B22" s="53" t="str">
        <f>IF(Calculation!E22=Calculation!$A$143,Calculation!I22,"")</f>
        <v/>
      </c>
      <c r="C22" s="52" t="str">
        <f>IF(Calculation!E22=Calculation!$A$143,Calculation!D22,"")</f>
        <v/>
      </c>
      <c r="D22" s="52" t="str">
        <f>IF(Calculation!E22=Calculation!$A$143,Calculation!$A$16,"")</f>
        <v/>
      </c>
      <c r="E22" s="52" t="str">
        <f>IF(Calculation!E22=Calculation!$A$143,Calculation!C22,"")</f>
        <v/>
      </c>
      <c r="F22" s="52" t="str">
        <f>IF(Calculation!E22=Calculation!$A$143,Calculation!F22,"")</f>
        <v/>
      </c>
      <c r="G22" s="54" t="str">
        <f>IF(Calculation!E22=Calculation!$A$143,Calculation!G22,"")</f>
        <v/>
      </c>
      <c r="H22" s="54" t="str">
        <f>IF(Calculation!E22=Calculation!$A$143,Calculation!H22,"")</f>
        <v/>
      </c>
      <c r="I22" s="55"/>
      <c r="M22" s="92" t="s">
        <v>36</v>
      </c>
      <c r="Q22" s="86">
        <f>SUMIFS(Calculation!$F$3:$F$125,Calculation!$C$3:$C$125,"Content for Video",Calculation!$E$3:$E$125,Calculation!A143)</f>
        <v>0</v>
      </c>
      <c r="R22" s="87">
        <f>(Calculation!E143)</f>
        <v>75</v>
      </c>
      <c r="S22" s="90">
        <f t="shared" si="1"/>
        <v>0</v>
      </c>
      <c r="T22" s="69"/>
      <c r="U22" s="70"/>
    </row>
    <row r="23" ht="20.25" customHeight="1">
      <c r="A23" s="52" t="str">
        <f>IF(Calculation!E23=Calculation!$A$143,Calculation!B23,"")</f>
        <v/>
      </c>
      <c r="B23" s="53" t="str">
        <f>IF(Calculation!E23=Calculation!$A$143,Calculation!I23,"")</f>
        <v/>
      </c>
      <c r="C23" s="52" t="str">
        <f>IF(Calculation!E23=Calculation!$A$143,Calculation!D23,"")</f>
        <v/>
      </c>
      <c r="D23" s="52" t="str">
        <f>IF(Calculation!E23=Calculation!$A$143,Calculation!$A$16,"")</f>
        <v/>
      </c>
      <c r="E23" s="52" t="str">
        <f>IF(Calculation!E23=Calculation!$A$143,Calculation!C23,"")</f>
        <v/>
      </c>
      <c r="F23" s="52" t="str">
        <f>IF(Calculation!E23=Calculation!$A$143,Calculation!F23,"")</f>
        <v/>
      </c>
      <c r="G23" s="54" t="str">
        <f>IF(Calculation!E23=Calculation!$A$143,Calculation!G23,"")</f>
        <v/>
      </c>
      <c r="H23" s="54" t="str">
        <f>IF(Calculation!E23=Calculation!$A$143,Calculation!H23,"")</f>
        <v/>
      </c>
      <c r="I23" s="55"/>
      <c r="M23" s="93" t="s">
        <v>16</v>
      </c>
      <c r="N23" s="93"/>
      <c r="O23" s="94"/>
      <c r="P23" s="94"/>
      <c r="Q23" s="86">
        <f>SUMIFS(Calculation!$F$3:$F$125,Calculation!$C$3:$C125,"Poster Design",Calculation!$E$3:$E$125,Calculation!A143)</f>
        <v>1</v>
      </c>
      <c r="R23" s="95">
        <f>(Calculation!F143)</f>
        <v>50</v>
      </c>
      <c r="S23" s="96">
        <f t="shared" si="1"/>
        <v>50</v>
      </c>
      <c r="T23" s="69"/>
      <c r="U23" s="70"/>
    </row>
    <row r="24">
      <c r="A24" s="52" t="str">
        <f>IF(Calculation!E24=Calculation!$A$143,Calculation!B24,"")</f>
        <v/>
      </c>
      <c r="B24" s="53" t="str">
        <f>IF(Calculation!E24=Calculation!$A$143,Calculation!I24,"")</f>
        <v/>
      </c>
      <c r="C24" s="52" t="str">
        <f>IF(Calculation!E24=Calculation!$A$143,Calculation!D24,"")</f>
        <v/>
      </c>
      <c r="D24" s="52" t="str">
        <f>IF(Calculation!E24=Calculation!$A$143,Calculation!$A$16,"")</f>
        <v/>
      </c>
      <c r="E24" s="52" t="str">
        <f>IF(Calculation!E24=Calculation!$A$143,Calculation!C24,"")</f>
        <v/>
      </c>
      <c r="F24" s="52" t="str">
        <f>IF(Calculation!E24=Calculation!$A$143,Calculation!F24,"")</f>
        <v/>
      </c>
      <c r="G24" s="54" t="str">
        <f>IF(Calculation!E24=Calculation!$A$143,Calculation!G24,"")</f>
        <v/>
      </c>
      <c r="H24" s="54" t="str">
        <f>IF(Calculation!E24=Calculation!$A$143,Calculation!H24,"")</f>
        <v/>
      </c>
      <c r="I24" s="55"/>
      <c r="M24" s="97" t="s">
        <v>71</v>
      </c>
      <c r="N24" s="97"/>
      <c r="O24" s="62"/>
      <c r="R24" s="109" t="s">
        <v>72</v>
      </c>
      <c r="S24" s="99">
        <f>sum(S19:S23)</f>
        <v>50</v>
      </c>
      <c r="T24" s="62"/>
      <c r="U24" s="64"/>
    </row>
    <row r="25">
      <c r="A25" s="52" t="str">
        <f>IF(Calculation!E25=Calculation!$A$143,Calculation!B25,"")</f>
        <v/>
      </c>
      <c r="B25" s="53" t="str">
        <f>IF(Calculation!E25=Calculation!$A$143,Calculation!I25,"")</f>
        <v/>
      </c>
      <c r="C25" s="52" t="str">
        <f>IF(Calculation!E25=Calculation!$A$143,Calculation!D25,"")</f>
        <v/>
      </c>
      <c r="D25" s="52" t="str">
        <f>IF(Calculation!E25=Calculation!$A$143,Calculation!$A$16,"")</f>
        <v/>
      </c>
      <c r="E25" s="52" t="str">
        <f>IF(Calculation!E25=Calculation!$A$143,Calculation!C25,"")</f>
        <v/>
      </c>
      <c r="F25" s="52" t="str">
        <f>IF(Calculation!E25=Calculation!$A$143,Calculation!F25,"")</f>
        <v/>
      </c>
      <c r="G25" s="54" t="str">
        <f>IF(Calculation!E25=Calculation!$A$143,Calculation!G25,"")</f>
        <v/>
      </c>
      <c r="H25" s="54" t="str">
        <f>IF(Calculation!E25=Calculation!$A$143,Calculation!H25,"")</f>
        <v/>
      </c>
      <c r="I25" s="55"/>
      <c r="M25" s="62"/>
      <c r="N25" s="62"/>
      <c r="O25" s="62"/>
      <c r="R25" s="109" t="s">
        <v>73</v>
      </c>
      <c r="S25" s="100">
        <v>0.0</v>
      </c>
      <c r="T25" s="62"/>
      <c r="U25" s="64"/>
    </row>
    <row r="26">
      <c r="A26" s="52" t="str">
        <f>IF(Calculation!E26=Calculation!$A$143,Calculation!B26,"")</f>
        <v/>
      </c>
      <c r="B26" s="53" t="str">
        <f>IF(Calculation!E26=Calculation!$A$143,Calculation!I26,"")</f>
        <v/>
      </c>
      <c r="C26" s="52" t="str">
        <f>IF(Calculation!E26=Calculation!$A$143,Calculation!D26,"")</f>
        <v/>
      </c>
      <c r="D26" s="52" t="str">
        <f>IF(Calculation!E26=Calculation!$A$143,Calculation!$A$16,"")</f>
        <v/>
      </c>
      <c r="E26" s="52" t="str">
        <f>IF(Calculation!E26=Calculation!$A$143,Calculation!C26,"")</f>
        <v/>
      </c>
      <c r="F26" s="52" t="str">
        <f>IF(Calculation!E26=Calculation!$A$143,Calculation!F26,"")</f>
        <v/>
      </c>
      <c r="G26" s="54" t="str">
        <f>IF(Calculation!E26=Calculation!$A$143,Calculation!G26,"")</f>
        <v/>
      </c>
      <c r="H26" s="54" t="str">
        <f>IF(Calculation!E26=Calculation!$A$143,Calculation!H26,"")</f>
        <v/>
      </c>
      <c r="I26" s="55"/>
      <c r="M26" s="69"/>
      <c r="N26" s="69"/>
      <c r="O26" s="69"/>
      <c r="P26" s="69"/>
      <c r="Q26" s="69"/>
      <c r="R26" s="101">
        <f>sum(S24,S25)</f>
        <v>50</v>
      </c>
      <c r="T26" s="69"/>
      <c r="U26" s="70"/>
    </row>
    <row r="27">
      <c r="A27" s="52" t="str">
        <f>IF(Calculation!E27=Calculation!$A$143,Calculation!B27,"")</f>
        <v/>
      </c>
      <c r="B27" s="53" t="str">
        <f>IF(Calculation!E27=Calculation!$A$143,Calculation!I27,"")</f>
        <v/>
      </c>
      <c r="C27" s="52" t="str">
        <f>IF(Calculation!E27=Calculation!$A$143,Calculation!D27,"")</f>
        <v/>
      </c>
      <c r="D27" s="52" t="str">
        <f>IF(Calculation!E27=Calculation!$A$143,Calculation!$A$16,"")</f>
        <v/>
      </c>
      <c r="E27" s="52" t="str">
        <f>IF(Calculation!E27=Calculation!$A$143,Calculation!C27,"")</f>
        <v/>
      </c>
      <c r="F27" s="52" t="str">
        <f>IF(Calculation!E27=Calculation!$A$143,Calculation!F27,"")</f>
        <v/>
      </c>
      <c r="G27" s="54" t="str">
        <f>IF(Calculation!E27=Calculation!$A$143,Calculation!G27,"")</f>
        <v/>
      </c>
      <c r="H27" s="54" t="str">
        <f>IF(Calculation!E27=Calculation!$A$143,Calculation!H27,"")</f>
        <v/>
      </c>
      <c r="I27" s="55"/>
      <c r="M27" s="102"/>
      <c r="N27" s="102"/>
      <c r="O27" s="69"/>
      <c r="P27" s="69"/>
      <c r="Q27" s="69"/>
      <c r="R27" s="69"/>
      <c r="S27" s="69"/>
      <c r="T27" s="69"/>
      <c r="U27" s="70"/>
    </row>
    <row r="28">
      <c r="A28" s="52" t="str">
        <f>IF(Calculation!E28=Calculation!$A$143,Calculation!B28,"")</f>
        <v/>
      </c>
      <c r="B28" s="53" t="str">
        <f>IF(Calculation!E28=Calculation!$A$143,Calculation!I28,"")</f>
        <v/>
      </c>
      <c r="C28" s="52" t="str">
        <f>IF(Calculation!E28=Calculation!$A$143,Calculation!D28,"")</f>
        <v/>
      </c>
      <c r="D28" s="52" t="str">
        <f>IF(Calculation!E28=Calculation!$A$143,Calculation!$A$16,"")</f>
        <v/>
      </c>
      <c r="E28" s="52" t="str">
        <f>IF(Calculation!E28=Calculation!$A$143,Calculation!C28,"")</f>
        <v/>
      </c>
      <c r="F28" s="52" t="str">
        <f>IF(Calculation!E28=Calculation!$A$143,Calculation!F28,"")</f>
        <v/>
      </c>
      <c r="G28" s="54" t="str">
        <f>IF(Calculation!E28=Calculation!$A$143,Calculation!G28,"")</f>
        <v/>
      </c>
      <c r="H28" s="54" t="str">
        <f>IF(Calculation!E28=Calculation!$A$143,Calculation!H28,"")</f>
        <v/>
      </c>
      <c r="I28" s="55"/>
      <c r="U28" s="103"/>
    </row>
    <row r="29">
      <c r="A29" s="52" t="str">
        <f>IF(Calculation!E29=Calculation!$A$143,Calculation!B29,"")</f>
        <v/>
      </c>
      <c r="B29" s="53" t="str">
        <f>IF(Calculation!E29=Calculation!$A$143,Calculation!I29,"")</f>
        <v/>
      </c>
      <c r="C29" s="52" t="str">
        <f>IF(Calculation!E29=Calculation!$A$143,Calculation!D29,"")</f>
        <v/>
      </c>
      <c r="D29" s="52" t="str">
        <f>IF(Calculation!E29=Calculation!$A$143,Calculation!$A$29,"")</f>
        <v/>
      </c>
      <c r="E29" s="52" t="str">
        <f>IF(Calculation!E29=Calculation!$A$143,Calculation!C29,"")</f>
        <v/>
      </c>
      <c r="F29" s="52" t="str">
        <f>IF(Calculation!E29=Calculation!$A$143,Calculation!F29,"")</f>
        <v/>
      </c>
      <c r="G29" s="54" t="str">
        <f>IF(Calculation!E29=Calculation!$A$143,Calculation!G29,"")</f>
        <v/>
      </c>
      <c r="H29" s="54" t="str">
        <f>IF(Calculation!E29=Calculation!$A$143,Calculation!H29,"")</f>
        <v/>
      </c>
      <c r="I29" s="55"/>
      <c r="U29" s="103"/>
    </row>
    <row r="30">
      <c r="A30" s="52" t="str">
        <f>IF(Calculation!E30=Calculation!$A$143,Calculation!B30,"")</f>
        <v/>
      </c>
      <c r="B30" s="53" t="str">
        <f>IF(Calculation!E30=Calculation!$A$143,Calculation!I30,"")</f>
        <v/>
      </c>
      <c r="C30" s="52" t="str">
        <f>IF(Calculation!E30=Calculation!$A$143,Calculation!D30,"")</f>
        <v/>
      </c>
      <c r="D30" s="52" t="str">
        <f>IF(Calculation!E30=Calculation!$A$143,Calculation!$A$29,"")</f>
        <v/>
      </c>
      <c r="E30" s="52" t="str">
        <f>IF(Calculation!E30=Calculation!$A$143,Calculation!C30,"")</f>
        <v/>
      </c>
      <c r="F30" s="52" t="str">
        <f>IF(Calculation!E30=Calculation!$A$143,Calculation!F30,"")</f>
        <v/>
      </c>
      <c r="G30" s="54" t="str">
        <f>IF(Calculation!E30=Calculation!$A$143,Calculation!G30,"")</f>
        <v/>
      </c>
      <c r="H30" s="54" t="str">
        <f>IF(Calculation!E30=Calculation!$A$143,Calculation!H30,"")</f>
        <v/>
      </c>
      <c r="I30" s="55"/>
      <c r="U30" s="103"/>
    </row>
    <row r="31">
      <c r="A31" s="52" t="str">
        <f>IF(Calculation!E31=Calculation!$A$143,Calculation!B31,"")</f>
        <v/>
      </c>
      <c r="B31" s="53" t="str">
        <f>IF(Calculation!E31=Calculation!$A$143,Calculation!I31,"")</f>
        <v/>
      </c>
      <c r="C31" s="52" t="str">
        <f>IF(Calculation!E31=Calculation!$A$143,Calculation!D31,"")</f>
        <v/>
      </c>
      <c r="D31" s="52" t="str">
        <f>IF(Calculation!E31=Calculation!$A$143,Calculation!$A$29,"")</f>
        <v/>
      </c>
      <c r="E31" s="52" t="str">
        <f>IF(Calculation!E31=Calculation!$A$143,Calculation!C31,"")</f>
        <v/>
      </c>
      <c r="F31" s="52" t="str">
        <f>IF(Calculation!E31=Calculation!$A$143,Calculation!F31,"")</f>
        <v/>
      </c>
      <c r="G31" s="54" t="str">
        <f>IF(Calculation!E31=Calculation!$A$143,Calculation!G31,"")</f>
        <v/>
      </c>
      <c r="H31" s="54" t="str">
        <f>IF(Calculation!E31=Calculation!$A$143,Calculation!H31,"")</f>
        <v/>
      </c>
      <c r="I31" s="55"/>
      <c r="U31" s="103"/>
    </row>
    <row r="32">
      <c r="A32" s="52" t="str">
        <f>IF(Calculation!E32=Calculation!$A$143,Calculation!B32,"")</f>
        <v/>
      </c>
      <c r="B32" s="53" t="str">
        <f>IF(Calculation!E32=Calculation!$A$143,Calculation!I32,"")</f>
        <v/>
      </c>
      <c r="C32" s="52" t="str">
        <f>IF(Calculation!E32=Calculation!$A$143,Calculation!D32,"")</f>
        <v/>
      </c>
      <c r="D32" s="52" t="str">
        <f>IF(Calculation!E32=Calculation!$A$143,Calculation!$A$29,"")</f>
        <v/>
      </c>
      <c r="E32" s="52" t="str">
        <f>IF(Calculation!E32=Calculation!$A$143,Calculation!C32,"")</f>
        <v/>
      </c>
      <c r="F32" s="52" t="str">
        <f>IF(Calculation!E32=Calculation!$A$143,Calculation!F32,"")</f>
        <v/>
      </c>
      <c r="G32" s="54" t="str">
        <f>IF(Calculation!E32=Calculation!$A$143,Calculation!G32,"")</f>
        <v/>
      </c>
      <c r="H32" s="54" t="str">
        <f>IF(Calculation!E32=Calculation!$A$143,Calculation!H32,"")</f>
        <v/>
      </c>
      <c r="I32" s="55"/>
      <c r="U32" s="103"/>
    </row>
    <row r="33">
      <c r="A33" s="52" t="str">
        <f>IF(Calculation!E33=Calculation!$A$143,Calculation!B33,"")</f>
        <v/>
      </c>
      <c r="B33" s="53" t="str">
        <f>IF(Calculation!E33=Calculation!$A$143,Calculation!I33,"")</f>
        <v/>
      </c>
      <c r="C33" s="52" t="str">
        <f>IF(Calculation!E33=Calculation!$A$143,Calculation!D33,"")</f>
        <v/>
      </c>
      <c r="D33" s="52" t="str">
        <f>IF(Calculation!E33=Calculation!$A$143,Calculation!$A$29,"")</f>
        <v/>
      </c>
      <c r="E33" s="52" t="str">
        <f>IF(Calculation!E33=Calculation!$A$143,Calculation!C33,"")</f>
        <v/>
      </c>
      <c r="F33" s="52" t="str">
        <f>IF(Calculation!E33=Calculation!$A$143,Calculation!F33,"")</f>
        <v/>
      </c>
      <c r="G33" s="54" t="str">
        <f>IF(Calculation!E33=Calculation!$A$143,Calculation!G33,"")</f>
        <v/>
      </c>
      <c r="H33" s="54" t="str">
        <f>IF(Calculation!E33=Calculation!$A$143,Calculation!H33,"")</f>
        <v/>
      </c>
      <c r="I33" s="55"/>
      <c r="U33" s="103"/>
    </row>
    <row r="34">
      <c r="A34" s="52" t="str">
        <f>IF(Calculation!E34=Calculation!$A$143,Calculation!B34,"")</f>
        <v/>
      </c>
      <c r="B34" s="53" t="str">
        <f>IF(Calculation!E34=Calculation!$A$143,Calculation!I34,"")</f>
        <v/>
      </c>
      <c r="C34" s="52" t="str">
        <f>IF(Calculation!E34=Calculation!$A$143,Calculation!D34,"")</f>
        <v/>
      </c>
      <c r="D34" s="52" t="str">
        <f>IF(Calculation!E34=Calculation!$A$143,Calculation!$A$29,"")</f>
        <v/>
      </c>
      <c r="E34" s="52" t="str">
        <f>IF(Calculation!E34=Calculation!$A$143,Calculation!C34,"")</f>
        <v/>
      </c>
      <c r="F34" s="52" t="str">
        <f>IF(Calculation!E34=Calculation!$A$143,Calculation!F34,"")</f>
        <v/>
      </c>
      <c r="G34" s="54" t="str">
        <f>IF(Calculation!E34=Calculation!$A$143,Calculation!G34,"")</f>
        <v/>
      </c>
      <c r="H34" s="54" t="str">
        <f>IF(Calculation!E34=Calculation!$A$143,Calculation!H34,"")</f>
        <v/>
      </c>
      <c r="I34" s="55"/>
      <c r="U34" s="103"/>
    </row>
    <row r="35">
      <c r="A35" s="52" t="str">
        <f>IF(Calculation!E35=Calculation!$A$143,Calculation!B35,"")</f>
        <v/>
      </c>
      <c r="B35" s="53" t="str">
        <f>IF(Calculation!E35=Calculation!$A$143,Calculation!I35,"")</f>
        <v/>
      </c>
      <c r="C35" s="52" t="str">
        <f>IF(Calculation!E35=Calculation!$A$143,Calculation!D35,"")</f>
        <v/>
      </c>
      <c r="D35" s="52" t="str">
        <f>IF(Calculation!E35=Calculation!$A$143,Calculation!$A$29,"")</f>
        <v/>
      </c>
      <c r="E35" s="52" t="str">
        <f>IF(Calculation!E35=Calculation!$A$143,Calculation!C35,"")</f>
        <v/>
      </c>
      <c r="F35" s="52" t="str">
        <f>IF(Calculation!E35=Calculation!$A$143,Calculation!F35,"")</f>
        <v/>
      </c>
      <c r="G35" s="54" t="str">
        <f>IF(Calculation!E35=Calculation!$A$143,Calculation!G35,"")</f>
        <v/>
      </c>
      <c r="H35" s="54" t="str">
        <f>IF(Calculation!E35=Calculation!$A$143,Calculation!H35,"")</f>
        <v/>
      </c>
      <c r="I35" s="55"/>
      <c r="U35" s="103"/>
    </row>
    <row r="36">
      <c r="A36" s="52" t="str">
        <f>IF(Calculation!E36=Calculation!$A$143,Calculation!B36,"")</f>
        <v/>
      </c>
      <c r="B36" s="53" t="str">
        <f>IF(Calculation!E36=Calculation!$A$143,Calculation!I36,"")</f>
        <v/>
      </c>
      <c r="C36" s="52" t="str">
        <f>IF(Calculation!E36=Calculation!$A$143,Calculation!D36,"")</f>
        <v/>
      </c>
      <c r="D36" s="52" t="str">
        <f>IF(Calculation!E36=Calculation!$A$143,Calculation!$A$29,"")</f>
        <v/>
      </c>
      <c r="E36" s="52" t="str">
        <f>IF(Calculation!E36=Calculation!$A$143,Calculation!C36,"")</f>
        <v/>
      </c>
      <c r="F36" s="52" t="str">
        <f>IF(Calculation!E36=Calculation!$A$143,Calculation!F36,"")</f>
        <v/>
      </c>
      <c r="G36" s="54" t="str">
        <f>IF(Calculation!E36=Calculation!$A$143,Calculation!G36,"")</f>
        <v/>
      </c>
      <c r="H36" s="54" t="str">
        <f>IF(Calculation!E36=Calculation!$A$143,Calculation!H36,"")</f>
        <v/>
      </c>
      <c r="I36" s="55"/>
      <c r="U36" s="103"/>
    </row>
    <row r="37">
      <c r="A37" s="52" t="str">
        <f>IF(Calculation!E37=Calculation!$A$143,Calculation!B37,"")</f>
        <v/>
      </c>
      <c r="B37" s="53" t="str">
        <f>IF(Calculation!E37=Calculation!$A$143,Calculation!I37,"")</f>
        <v/>
      </c>
      <c r="C37" s="52" t="str">
        <f>IF(Calculation!E37=Calculation!$A$143,Calculation!D37,"")</f>
        <v/>
      </c>
      <c r="D37" s="52" t="str">
        <f>IF(Calculation!E37=Calculation!$A$143,Calculation!$A$29,"")</f>
        <v/>
      </c>
      <c r="E37" s="52" t="str">
        <f>IF(Calculation!E37=Calculation!$A$143,Calculation!C37,"")</f>
        <v/>
      </c>
      <c r="F37" s="52" t="str">
        <f>IF(Calculation!E37=Calculation!$A$143,Calculation!F37,"")</f>
        <v/>
      </c>
      <c r="G37" s="54" t="str">
        <f>IF(Calculation!E37=Calculation!$A$143,Calculation!G37,"")</f>
        <v/>
      </c>
      <c r="H37" s="54" t="str">
        <f>IF(Calculation!E37=Calculation!$A$143,Calculation!H37,"")</f>
        <v/>
      </c>
      <c r="I37" s="55"/>
      <c r="U37" s="103"/>
    </row>
    <row r="38">
      <c r="A38" s="52" t="str">
        <f>IF(Calculation!E38=Calculation!$A$143,Calculation!B38,"")</f>
        <v/>
      </c>
      <c r="B38" s="53" t="str">
        <f>IF(Calculation!E38=Calculation!$A$143,Calculation!I38,"")</f>
        <v/>
      </c>
      <c r="C38" s="52" t="str">
        <f>IF(Calculation!E38=Calculation!$A$143,Calculation!D38,"")</f>
        <v/>
      </c>
      <c r="D38" s="52" t="str">
        <f>IF(Calculation!E38=Calculation!$A$143,Calculation!$A$29,"")</f>
        <v/>
      </c>
      <c r="E38" s="52" t="str">
        <f>IF(Calculation!E38=Calculation!$A$143,Calculation!C38,"")</f>
        <v/>
      </c>
      <c r="F38" s="52" t="str">
        <f>IF(Calculation!E38=Calculation!$A$143,Calculation!F38,"")</f>
        <v/>
      </c>
      <c r="G38" s="54" t="str">
        <f>IF(Calculation!E38=Calculation!$A$143,Calculation!G38,"")</f>
        <v/>
      </c>
      <c r="H38" s="54" t="str">
        <f>IF(Calculation!E38=Calculation!$A$143,Calculation!H38,"")</f>
        <v/>
      </c>
      <c r="I38" s="55"/>
      <c r="U38" s="103"/>
    </row>
    <row r="39">
      <c r="A39" s="52" t="str">
        <f>IF(Calculation!E39=Calculation!$A$143,Calculation!B39,"")</f>
        <v/>
      </c>
      <c r="B39" s="53" t="str">
        <f>IF(Calculation!E39=Calculation!$A$143,Calculation!I39,"")</f>
        <v/>
      </c>
      <c r="C39" s="52" t="str">
        <f>IF(Calculation!E39=Calculation!$A$143,Calculation!D39,"")</f>
        <v/>
      </c>
      <c r="D39" s="52" t="str">
        <f>IF(Calculation!E39=Calculation!$A$143,Calculation!$A$29,"")</f>
        <v/>
      </c>
      <c r="E39" s="52" t="str">
        <f>IF(Calculation!E39=Calculation!$A$143,Calculation!C39,"")</f>
        <v/>
      </c>
      <c r="F39" s="52" t="str">
        <f>IF(Calculation!E39=Calculation!$A$143,Calculation!F39,"")</f>
        <v/>
      </c>
      <c r="G39" s="54" t="str">
        <f>IF(Calculation!E39=Calculation!$A$143,Calculation!G39,"")</f>
        <v/>
      </c>
      <c r="H39" s="54" t="str">
        <f>IF(Calculation!E39=Calculation!$A$143,Calculation!H39,"")</f>
        <v/>
      </c>
      <c r="I39" s="55"/>
      <c r="U39" s="103"/>
    </row>
    <row r="40">
      <c r="A40" s="52" t="str">
        <f>IF(Calculation!E40=Calculation!$A$143,Calculation!B40,"")</f>
        <v/>
      </c>
      <c r="B40" s="53" t="str">
        <f>IF(Calculation!E40=Calculation!$A$143,Calculation!I40,"")</f>
        <v/>
      </c>
      <c r="C40" s="52" t="str">
        <f>IF(Calculation!E40=Calculation!$A$143,Calculation!D40,"")</f>
        <v/>
      </c>
      <c r="D40" s="52" t="str">
        <f>IF(Calculation!E40=Calculation!$A$143,Calculation!$A$29,"")</f>
        <v/>
      </c>
      <c r="E40" s="52" t="str">
        <f>IF(Calculation!E40=Calculation!$A$143,Calculation!C40,"")</f>
        <v/>
      </c>
      <c r="F40" s="52" t="str">
        <f>IF(Calculation!E40=Calculation!$A$143,Calculation!F40,"")</f>
        <v/>
      </c>
      <c r="G40" s="54" t="str">
        <f>IF(Calculation!E40=Calculation!$A$143,Calculation!G40,"")</f>
        <v/>
      </c>
      <c r="H40" s="54" t="str">
        <f>IF(Calculation!E40=Calculation!$A$143,Calculation!H40,"")</f>
        <v/>
      </c>
      <c r="I40" s="55"/>
      <c r="M40" s="104"/>
      <c r="N40" s="104"/>
      <c r="O40" s="104"/>
      <c r="P40" s="104"/>
      <c r="Q40" s="104"/>
      <c r="R40" s="104"/>
      <c r="S40" s="104"/>
      <c r="T40" s="104"/>
      <c r="U40" s="105"/>
    </row>
    <row r="41">
      <c r="A41" s="52" t="str">
        <f>IF(Calculation!E41=Calculation!$A$143,Calculation!B41,"")</f>
        <v/>
      </c>
      <c r="B41" s="53" t="str">
        <f>IF(Calculation!E41=Calculation!$A$143,Calculation!I41,"")</f>
        <v/>
      </c>
      <c r="C41" s="52" t="str">
        <f>IF(Calculation!E41=Calculation!$A$143,Calculation!D41,"")</f>
        <v/>
      </c>
      <c r="D41" s="52" t="str">
        <f>IF(Calculation!E41=Calculation!$A$143,Calculation!$A$41,"")</f>
        <v/>
      </c>
      <c r="E41" s="52" t="str">
        <f>IF(Calculation!E41=Calculation!$A$143,Calculation!C41,"")</f>
        <v/>
      </c>
      <c r="F41" s="52" t="str">
        <f>IF(Calculation!E41=Calculation!$A$143,Calculation!F41,"")</f>
        <v/>
      </c>
      <c r="G41" s="54" t="str">
        <f>IF(Calculation!E41=Calculation!$A$143,Calculation!G41,"")</f>
        <v/>
      </c>
      <c r="H41" s="54" t="str">
        <f>IF(Calculation!E41=Calculation!$A$143,Calculation!H41,"")</f>
        <v/>
      </c>
      <c r="I41" s="55"/>
    </row>
    <row r="42">
      <c r="A42" s="52" t="str">
        <f>IF(Calculation!E42=Calculation!$A$143,Calculation!B42,"")</f>
        <v/>
      </c>
      <c r="B42" s="53" t="str">
        <f>IF(Calculation!E42=Calculation!$A$143,Calculation!I42,"")</f>
        <v/>
      </c>
      <c r="C42" s="52" t="str">
        <f>IF(Calculation!E42=Calculation!$A$143,Calculation!D42,"")</f>
        <v/>
      </c>
      <c r="D42" s="52" t="str">
        <f>IF(Calculation!E42=Calculation!$A$143,Calculation!$A$41,"")</f>
        <v/>
      </c>
      <c r="E42" s="52" t="str">
        <f>IF(Calculation!E42=Calculation!$A$143,Calculation!C42,"")</f>
        <v/>
      </c>
      <c r="F42" s="52" t="str">
        <f>IF(Calculation!E42=Calculation!$A$143,Calculation!F42,"")</f>
        <v/>
      </c>
      <c r="G42" s="54" t="str">
        <f>IF(Calculation!E42=Calculation!$A$143,Calculation!G42,"")</f>
        <v/>
      </c>
      <c r="H42" s="54" t="str">
        <f>IF(Calculation!E42=Calculation!$A$143,Calculation!H42,"")</f>
        <v/>
      </c>
      <c r="I42" s="55"/>
    </row>
    <row r="43">
      <c r="A43" s="52" t="str">
        <f>IF(Calculation!E43=Calculation!$A$143,Calculation!B43,"")</f>
        <v/>
      </c>
      <c r="B43" s="53" t="str">
        <f>IF(Calculation!E43=Calculation!$A$143,Calculation!I43,"")</f>
        <v/>
      </c>
      <c r="C43" s="52" t="str">
        <f>IF(Calculation!E43=Calculation!$A$143,Calculation!D43,"")</f>
        <v/>
      </c>
      <c r="D43" s="52" t="str">
        <f>IF(Calculation!E43=Calculation!$A$143,Calculation!$A$41,"")</f>
        <v/>
      </c>
      <c r="E43" s="52" t="str">
        <f>IF(Calculation!E43=Calculation!$A$143,Calculation!C43,"")</f>
        <v/>
      </c>
      <c r="F43" s="52" t="str">
        <f>IF(Calculation!E43=Calculation!$A$143,Calculation!F43,"")</f>
        <v/>
      </c>
      <c r="G43" s="54" t="str">
        <f>IF(Calculation!E43=Calculation!$A$143,Calculation!G43,"")</f>
        <v/>
      </c>
      <c r="H43" s="54" t="str">
        <f>IF(Calculation!E43=Calculation!$A$143,Calculation!H43,"")</f>
        <v/>
      </c>
      <c r="I43" s="55"/>
    </row>
    <row r="44">
      <c r="A44" s="52" t="str">
        <f>IF(Calculation!E44=Calculation!$A$143,Calculation!B44,"")</f>
        <v/>
      </c>
      <c r="B44" s="53" t="str">
        <f>IF(Calculation!E44=Calculation!$A$143,Calculation!I44,"")</f>
        <v/>
      </c>
      <c r="C44" s="52" t="str">
        <f>IF(Calculation!E44=Calculation!$A$143,Calculation!D44,"")</f>
        <v/>
      </c>
      <c r="D44" s="52" t="str">
        <f>IF(Calculation!E44=Calculation!$A$143,Calculation!$A$41,"")</f>
        <v/>
      </c>
      <c r="E44" s="52" t="str">
        <f>IF(Calculation!E44=Calculation!$A$143,Calculation!C44,"")</f>
        <v/>
      </c>
      <c r="F44" s="52" t="str">
        <f>IF(Calculation!E44=Calculation!$A$143,Calculation!F44,"")</f>
        <v/>
      </c>
      <c r="G44" s="54" t="str">
        <f>IF(Calculation!E44=Calculation!$A$143,Calculation!G44,"")</f>
        <v/>
      </c>
      <c r="H44" s="54" t="str">
        <f>IF(Calculation!E44=Calculation!$A$143,Calculation!H44,"")</f>
        <v/>
      </c>
      <c r="I44" s="55"/>
    </row>
    <row r="45">
      <c r="A45" s="52" t="str">
        <f>IF(Calculation!E45=Calculation!$A$143,Calculation!B45,"")</f>
        <v/>
      </c>
      <c r="B45" s="53" t="str">
        <f>IF(Calculation!E45=Calculation!$A$143,Calculation!I45,"")</f>
        <v/>
      </c>
      <c r="C45" s="52" t="str">
        <f>IF(Calculation!E45=Calculation!$A$143,Calculation!D45,"")</f>
        <v/>
      </c>
      <c r="D45" s="52" t="str">
        <f>IF(Calculation!E45=Calculation!$A$143,Calculation!$A$41,"")</f>
        <v/>
      </c>
      <c r="E45" s="52" t="str">
        <f>IF(Calculation!E45=Calculation!$A$143,Calculation!C45,"")</f>
        <v/>
      </c>
      <c r="F45" s="52" t="str">
        <f>IF(Calculation!E45=Calculation!$A$143,Calculation!F45,"")</f>
        <v/>
      </c>
      <c r="G45" s="54" t="str">
        <f>IF(Calculation!E45=Calculation!$A$143,Calculation!G45,"")</f>
        <v/>
      </c>
      <c r="H45" s="54" t="str">
        <f>IF(Calculation!E45=Calculation!$A$143,Calculation!H45,"")</f>
        <v/>
      </c>
      <c r="I45" s="55"/>
    </row>
    <row r="46">
      <c r="A46" s="52" t="str">
        <f>IF(Calculation!E46=Calculation!$A$143,Calculation!B46,"")</f>
        <v/>
      </c>
      <c r="B46" s="53" t="str">
        <f>IF(Calculation!E46=Calculation!$A$143,Calculation!I46,"")</f>
        <v/>
      </c>
      <c r="C46" s="52" t="str">
        <f>IF(Calculation!E46=Calculation!$A$143,Calculation!D46,"")</f>
        <v/>
      </c>
      <c r="D46" s="52" t="str">
        <f>IF(Calculation!E46=Calculation!$A$143,Calculation!$A$41,"")</f>
        <v/>
      </c>
      <c r="E46" s="52" t="str">
        <f>IF(Calculation!E46=Calculation!$A$143,Calculation!C46,"")</f>
        <v/>
      </c>
      <c r="F46" s="52" t="str">
        <f>IF(Calculation!E46=Calculation!$A$143,Calculation!F46,"")</f>
        <v/>
      </c>
      <c r="G46" s="54" t="str">
        <f>IF(Calculation!E46=Calculation!$A$143,Calculation!G46,"")</f>
        <v/>
      </c>
      <c r="H46" s="54" t="str">
        <f>IF(Calculation!E46=Calculation!$A$143,Calculation!H46,"")</f>
        <v/>
      </c>
      <c r="I46" s="55"/>
    </row>
    <row r="47">
      <c r="A47" s="52" t="str">
        <f>IF(Calculation!E47=Calculation!$A$143,Calculation!B47,"")</f>
        <v/>
      </c>
      <c r="B47" s="53" t="str">
        <f>IF(Calculation!E47=Calculation!$A$143,Calculation!I47,"")</f>
        <v/>
      </c>
      <c r="C47" s="52" t="str">
        <f>IF(Calculation!E47=Calculation!$A$143,Calculation!D47,"")</f>
        <v/>
      </c>
      <c r="D47" s="52" t="str">
        <f>IF(Calculation!E47=Calculation!$A$143,Calculation!$A$41,"")</f>
        <v/>
      </c>
      <c r="E47" s="52" t="str">
        <f>IF(Calculation!E47=Calculation!$A$143,Calculation!C47,"")</f>
        <v/>
      </c>
      <c r="F47" s="52" t="str">
        <f>IF(Calculation!E47=Calculation!$A$143,Calculation!F47,"")</f>
        <v/>
      </c>
      <c r="G47" s="54" t="str">
        <f>IF(Calculation!E47=Calculation!$A$143,Calculation!G47,"")</f>
        <v/>
      </c>
      <c r="H47" s="54" t="str">
        <f>IF(Calculation!E47=Calculation!$A$143,Calculation!H47,"")</f>
        <v/>
      </c>
      <c r="I47" s="55"/>
    </row>
    <row r="48">
      <c r="A48" s="52" t="str">
        <f>IF(Calculation!E48=Calculation!$A$143,Calculation!B48,"")</f>
        <v/>
      </c>
      <c r="B48" s="53" t="str">
        <f>IF(Calculation!E48=Calculation!$A$143,Calculation!I48,"")</f>
        <v/>
      </c>
      <c r="C48" s="52" t="str">
        <f>IF(Calculation!E48=Calculation!$A$143,Calculation!D48,"")</f>
        <v/>
      </c>
      <c r="D48" s="52" t="str">
        <f>IF(Calculation!E48=Calculation!$A$143,Calculation!$A$41,"")</f>
        <v/>
      </c>
      <c r="E48" s="52" t="str">
        <f>IF(Calculation!E48=Calculation!$A$143,Calculation!C48,"")</f>
        <v/>
      </c>
      <c r="F48" s="52" t="str">
        <f>IF(Calculation!E48=Calculation!$A$143,Calculation!F48,"")</f>
        <v/>
      </c>
      <c r="G48" s="54" t="str">
        <f>IF(Calculation!E48=Calculation!$A$143,Calculation!G48,"")</f>
        <v/>
      </c>
      <c r="H48" s="54" t="str">
        <f>IF(Calculation!E48=Calculation!$A$143,Calculation!H48,"")</f>
        <v/>
      </c>
      <c r="I48" s="55"/>
    </row>
    <row r="49">
      <c r="A49" s="52" t="str">
        <f>IF(Calculation!E49=Calculation!$A$143,Calculation!B49,"")</f>
        <v/>
      </c>
      <c r="B49" s="53" t="str">
        <f>IF(Calculation!E49=Calculation!$A$143,Calculation!I49,"")</f>
        <v/>
      </c>
      <c r="C49" s="52" t="str">
        <f>IF(Calculation!E49=Calculation!$A$143,Calculation!D49,"")</f>
        <v/>
      </c>
      <c r="D49" s="52" t="str">
        <f>IF(Calculation!E49=Calculation!$A$143,Calculation!$A$41,"")</f>
        <v/>
      </c>
      <c r="E49" s="52" t="str">
        <f>IF(Calculation!E49=Calculation!$A$143,Calculation!C49,"")</f>
        <v/>
      </c>
      <c r="F49" s="52" t="str">
        <f>IF(Calculation!E49=Calculation!$A$143,Calculation!F49,"")</f>
        <v/>
      </c>
      <c r="G49" s="54" t="str">
        <f>IF(Calculation!E49=Calculation!$A$143,Calculation!G49,"")</f>
        <v/>
      </c>
      <c r="H49" s="54" t="str">
        <f>IF(Calculation!E49=Calculation!$A$143,Calculation!H49,"")</f>
        <v/>
      </c>
      <c r="I49" s="55"/>
    </row>
    <row r="50">
      <c r="A50" s="52" t="str">
        <f>IF(Calculation!E50=Calculation!$A$143,Calculation!B50,"")</f>
        <v/>
      </c>
      <c r="B50" s="53" t="str">
        <f>IF(Calculation!E50=Calculation!$A$143,Calculation!I50,"")</f>
        <v/>
      </c>
      <c r="C50" s="52" t="str">
        <f>IF(Calculation!E50=Calculation!$A$143,Calculation!D50,"")</f>
        <v/>
      </c>
      <c r="D50" s="52" t="str">
        <f>IF(Calculation!E50=Calculation!$A$143,Calculation!$A$41,"")</f>
        <v/>
      </c>
      <c r="E50" s="52" t="str">
        <f>IF(Calculation!E50=Calculation!$A$143,Calculation!C50,"")</f>
        <v/>
      </c>
      <c r="F50" s="52" t="str">
        <f>IF(Calculation!E50=Calculation!$A$143,Calculation!F50,"")</f>
        <v/>
      </c>
      <c r="G50" s="54" t="str">
        <f>IF(Calculation!E50=Calculation!$A$143,Calculation!G50,"")</f>
        <v/>
      </c>
      <c r="H50" s="54" t="str">
        <f>IF(Calculation!E50=Calculation!$A$143,Calculation!H50,"")</f>
        <v/>
      </c>
      <c r="I50" s="55"/>
    </row>
    <row r="51">
      <c r="A51" s="52" t="str">
        <f>IF(Calculation!E51=Calculation!$A$143,Calculation!B51,"")</f>
        <v/>
      </c>
      <c r="B51" s="53" t="str">
        <f>IF(Calculation!E51=Calculation!$A$143,Calculation!I51,"")</f>
        <v/>
      </c>
      <c r="C51" s="52" t="str">
        <f>IF(Calculation!E51=Calculation!$A$143,Calculation!D51,"")</f>
        <v/>
      </c>
      <c r="D51" s="52" t="str">
        <f>IF(Calculation!E51=Calculation!$A$143,Calculation!$A$41,"")</f>
        <v/>
      </c>
      <c r="E51" s="52" t="str">
        <f>IF(Calculation!E51=Calculation!$A$143,Calculation!C51,"")</f>
        <v/>
      </c>
      <c r="F51" s="52" t="str">
        <f>IF(Calculation!E51=Calculation!$A$143,Calculation!F51,"")</f>
        <v/>
      </c>
      <c r="G51" s="54" t="str">
        <f>IF(Calculation!E51=Calculation!$A$143,Calculation!G51,"")</f>
        <v/>
      </c>
      <c r="H51" s="54" t="str">
        <f>IF(Calculation!E51=Calculation!$A$143,Calculation!H51,"")</f>
        <v/>
      </c>
      <c r="I51" s="55"/>
    </row>
    <row r="52">
      <c r="A52" s="52" t="str">
        <f>IF(Calculation!E52=Calculation!$A$143,Calculation!B52,"")</f>
        <v/>
      </c>
      <c r="B52" s="53" t="str">
        <f>IF(Calculation!E52=Calculation!$A$143,Calculation!I52,"")</f>
        <v/>
      </c>
      <c r="C52" s="52" t="str">
        <f>IF(Calculation!E52=Calculation!$A$143,Calculation!D52,"")</f>
        <v/>
      </c>
      <c r="D52" s="52" t="str">
        <f>IF(Calculation!E52=Calculation!$A$143,Calculation!$A$41,"")</f>
        <v/>
      </c>
      <c r="E52" s="52" t="str">
        <f>IF(Calculation!E52=Calculation!$A$143,Calculation!C52,"")</f>
        <v/>
      </c>
      <c r="F52" s="52" t="str">
        <f>IF(Calculation!E52=Calculation!$A$143,Calculation!F52,"")</f>
        <v/>
      </c>
      <c r="G52" s="54" t="str">
        <f>IF(Calculation!E52=Calculation!$A$143,Calculation!G52,"")</f>
        <v/>
      </c>
      <c r="H52" s="54" t="str">
        <f>IF(Calculation!E52=Calculation!$A$143,Calculation!H52,"")</f>
        <v/>
      </c>
      <c r="I52" s="55"/>
    </row>
    <row r="53">
      <c r="A53" s="52" t="str">
        <f>IF(Calculation!E53=Calculation!$A$143,Calculation!B53,"")</f>
        <v/>
      </c>
      <c r="B53" s="53" t="str">
        <f>IF(Calculation!E53=Calculation!$A$143,Calculation!I53,"")</f>
        <v/>
      </c>
      <c r="C53" s="52" t="str">
        <f>IF(Calculation!E53=Calculation!$A$143,Calculation!D53,"")</f>
        <v/>
      </c>
      <c r="D53" s="52" t="str">
        <f>IF(Calculation!E53=Calculation!$A$143,Calculation!$A$41,"")</f>
        <v/>
      </c>
      <c r="E53" s="52" t="str">
        <f>IF(Calculation!E53=Calculation!$A$143,Calculation!C53,"")</f>
        <v/>
      </c>
      <c r="F53" s="52" t="str">
        <f>IF(Calculation!E53=Calculation!$A$143,Calculation!F53,"")</f>
        <v/>
      </c>
      <c r="G53" s="54" t="str">
        <f>IF(Calculation!E53=Calculation!$A$143,Calculation!G53,"")</f>
        <v/>
      </c>
      <c r="H53" s="54" t="str">
        <f>IF(Calculation!E53=Calculation!$A$143,Calculation!H53,"")</f>
        <v/>
      </c>
      <c r="I53" s="55"/>
    </row>
    <row r="54">
      <c r="A54" s="52" t="str">
        <f>IF(Calculation!E54=Calculation!$A$143,Calculation!B54,"")</f>
        <v/>
      </c>
      <c r="B54" s="53" t="str">
        <f>IF(Calculation!E54=Calculation!$A$143,Calculation!I54,"")</f>
        <v/>
      </c>
      <c r="C54" s="52" t="str">
        <f>IF(Calculation!E54=Calculation!$A$143,Calculation!D54,"")</f>
        <v/>
      </c>
      <c r="D54" s="52" t="str">
        <f>IF(Calculation!E54=Calculation!$A$143,Calculation!$A$54,"")</f>
        <v/>
      </c>
      <c r="E54" s="52" t="str">
        <f>IF(Calculation!E54=Calculation!$A$143,Calculation!C54,"")</f>
        <v/>
      </c>
      <c r="F54" s="52" t="str">
        <f>IF(Calculation!E54=Calculation!$A$143,Calculation!F54,"")</f>
        <v/>
      </c>
      <c r="G54" s="54" t="str">
        <f>IF(Calculation!E54=Calculation!$A$143,Calculation!G54,"")</f>
        <v/>
      </c>
      <c r="H54" s="54" t="str">
        <f>IF(Calculation!E54=Calculation!$A$143,Calculation!H54,"")</f>
        <v/>
      </c>
      <c r="I54" s="55"/>
    </row>
    <row r="55">
      <c r="A55" s="52" t="str">
        <f>IF(Calculation!E55=Calculation!$A$143,Calculation!B55,"")</f>
        <v/>
      </c>
      <c r="B55" s="53" t="str">
        <f>IF(Calculation!E55=Calculation!$A$143,Calculation!I55,"")</f>
        <v/>
      </c>
      <c r="C55" s="52" t="str">
        <f>IF(Calculation!E55=Calculation!$A$143,Calculation!D55,"")</f>
        <v/>
      </c>
      <c r="D55" s="52" t="str">
        <f>IF(Calculation!E55=Calculation!$A$143,Calculation!$A$54,"")</f>
        <v/>
      </c>
      <c r="E55" s="52" t="str">
        <f>IF(Calculation!E55=Calculation!$A$143,Calculation!C55,"")</f>
        <v/>
      </c>
      <c r="F55" s="52" t="str">
        <f>IF(Calculation!E55=Calculation!$A$143,Calculation!F55,"")</f>
        <v/>
      </c>
      <c r="G55" s="54" t="str">
        <f>IF(Calculation!E55=Calculation!$A$143,Calculation!G55,"")</f>
        <v/>
      </c>
      <c r="H55" s="54" t="str">
        <f>IF(Calculation!E55=Calculation!$A$143,Calculation!H55,"")</f>
        <v/>
      </c>
      <c r="I55" s="55"/>
    </row>
    <row r="56">
      <c r="A56" s="52" t="str">
        <f>IF(Calculation!E56=Calculation!$A$143,Calculation!B56,"")</f>
        <v/>
      </c>
      <c r="B56" s="53" t="str">
        <f>IF(Calculation!E56=Calculation!$A$143,Calculation!I56,"")</f>
        <v/>
      </c>
      <c r="C56" s="52" t="str">
        <f>IF(Calculation!E56=Calculation!$A$143,Calculation!D56,"")</f>
        <v/>
      </c>
      <c r="D56" s="52" t="str">
        <f>IF(Calculation!E56=Calculation!$A$143,Calculation!$A$54,"")</f>
        <v/>
      </c>
      <c r="E56" s="52" t="str">
        <f>IF(Calculation!E56=Calculation!$A$143,Calculation!C56,"")</f>
        <v/>
      </c>
      <c r="F56" s="52" t="str">
        <f>IF(Calculation!E56=Calculation!$A$143,Calculation!F56,"")</f>
        <v/>
      </c>
      <c r="G56" s="54" t="str">
        <f>IF(Calculation!E56=Calculation!$A$143,Calculation!G56,"")</f>
        <v/>
      </c>
      <c r="H56" s="54" t="str">
        <f>IF(Calculation!E56=Calculation!$A$143,Calculation!H56,"")</f>
        <v/>
      </c>
      <c r="I56" s="55"/>
    </row>
    <row r="57">
      <c r="A57" s="52" t="str">
        <f>IF(Calculation!E57=Calculation!$A$143,Calculation!B57,"")</f>
        <v/>
      </c>
      <c r="B57" s="53" t="str">
        <f>IF(Calculation!E57=Calculation!$A$143,Calculation!I57,"")</f>
        <v/>
      </c>
      <c r="C57" s="52" t="str">
        <f>IF(Calculation!E57=Calculation!$A$143,Calculation!D57,"")</f>
        <v/>
      </c>
      <c r="D57" s="52" t="str">
        <f>IF(Calculation!E57=Calculation!$A$143,Calculation!$A$54,"")</f>
        <v/>
      </c>
      <c r="E57" s="52" t="str">
        <f>IF(Calculation!E57=Calculation!$A$143,Calculation!C57,"")</f>
        <v/>
      </c>
      <c r="F57" s="52" t="str">
        <f>IF(Calculation!E57=Calculation!$A$143,Calculation!F57,"")</f>
        <v/>
      </c>
      <c r="G57" s="54" t="str">
        <f>IF(Calculation!E57=Calculation!$A$143,Calculation!G57,"")</f>
        <v/>
      </c>
      <c r="H57" s="54" t="str">
        <f>IF(Calculation!E57=Calculation!$A$143,Calculation!H57,"")</f>
        <v/>
      </c>
      <c r="I57" s="55"/>
    </row>
    <row r="58">
      <c r="A58" s="52" t="str">
        <f>IF(Calculation!E58=Calculation!$A$143,Calculation!B58,"")</f>
        <v/>
      </c>
      <c r="B58" s="53" t="str">
        <f>IF(Calculation!E58=Calculation!$A$143,Calculation!I58,"")</f>
        <v/>
      </c>
      <c r="C58" s="52" t="str">
        <f>IF(Calculation!E58=Calculation!$A$143,Calculation!D58,"")</f>
        <v/>
      </c>
      <c r="D58" s="52" t="str">
        <f>IF(Calculation!E58=Calculation!$A$143,Calculation!$A$54,"")</f>
        <v/>
      </c>
      <c r="E58" s="52" t="str">
        <f>IF(Calculation!E58=Calculation!$A$143,Calculation!C58,"")</f>
        <v/>
      </c>
      <c r="F58" s="52" t="str">
        <f>IF(Calculation!E58=Calculation!$A$143,Calculation!F58,"")</f>
        <v/>
      </c>
      <c r="G58" s="54" t="str">
        <f>IF(Calculation!E58=Calculation!$A$143,Calculation!G58,"")</f>
        <v/>
      </c>
      <c r="H58" s="54" t="str">
        <f>IF(Calculation!E58=Calculation!$A$143,Calculation!H58,"")</f>
        <v/>
      </c>
      <c r="I58" s="55"/>
    </row>
    <row r="59">
      <c r="A59" s="52" t="str">
        <f>IF(Calculation!E59=Calculation!$A$143,Calculation!B59,"")</f>
        <v/>
      </c>
      <c r="B59" s="53" t="str">
        <f>IF(Calculation!E59=Calculation!$A$143,Calculation!I59,"")</f>
        <v/>
      </c>
      <c r="C59" s="52" t="str">
        <f>IF(Calculation!E59=Calculation!$A$143,Calculation!D59,"")</f>
        <v/>
      </c>
      <c r="D59" s="52" t="str">
        <f>IF(Calculation!E59=Calculation!$A$143,Calculation!$A$54,"")</f>
        <v/>
      </c>
      <c r="E59" s="52" t="str">
        <f>IF(Calculation!E59=Calculation!$A$143,Calculation!C59,"")</f>
        <v/>
      </c>
      <c r="F59" s="52" t="str">
        <f>IF(Calculation!E59=Calculation!$A$143,Calculation!F59,"")</f>
        <v/>
      </c>
      <c r="G59" s="54" t="str">
        <f>IF(Calculation!E59=Calculation!$A$143,Calculation!G59,"")</f>
        <v/>
      </c>
      <c r="H59" s="54" t="str">
        <f>IF(Calculation!E59=Calculation!$A$143,Calculation!H59,"")</f>
        <v/>
      </c>
      <c r="I59" s="55"/>
    </row>
    <row r="60">
      <c r="A60" s="52" t="str">
        <f>IF(Calculation!E60=Calculation!$A$143,Calculation!B60,"")</f>
        <v/>
      </c>
      <c r="B60" s="53" t="str">
        <f>IF(Calculation!E60=Calculation!$A$143,Calculation!I60,"")</f>
        <v/>
      </c>
      <c r="C60" s="52" t="str">
        <f>IF(Calculation!E60=Calculation!$A$143,Calculation!D60,"")</f>
        <v/>
      </c>
      <c r="D60" s="52" t="str">
        <f>IF(Calculation!E60=Calculation!$A$143,Calculation!$A$54,"")</f>
        <v/>
      </c>
      <c r="E60" s="52" t="str">
        <f>IF(Calculation!E60=Calculation!$A$143,Calculation!C60,"")</f>
        <v/>
      </c>
      <c r="F60" s="52" t="str">
        <f>IF(Calculation!E60=Calculation!$A$143,Calculation!F60,"")</f>
        <v/>
      </c>
      <c r="G60" s="54" t="str">
        <f>IF(Calculation!E60=Calculation!$A$143,Calculation!G60,"")</f>
        <v/>
      </c>
      <c r="H60" s="54" t="str">
        <f>IF(Calculation!E60=Calculation!$A$143,Calculation!H60,"")</f>
        <v/>
      </c>
      <c r="I60" s="55"/>
    </row>
    <row r="61">
      <c r="A61" s="52" t="str">
        <f>IF(Calculation!E61=Calculation!$A$143,Calculation!B61,"")</f>
        <v/>
      </c>
      <c r="B61" s="53" t="str">
        <f>IF(Calculation!E61=Calculation!$A$143,Calculation!I61,"")</f>
        <v/>
      </c>
      <c r="C61" s="52" t="str">
        <f>IF(Calculation!E61=Calculation!$A$143,Calculation!D61,"")</f>
        <v/>
      </c>
      <c r="D61" s="52" t="str">
        <f>IF(Calculation!E61=Calculation!$A$143,Calculation!$A$54,"")</f>
        <v/>
      </c>
      <c r="E61" s="52" t="str">
        <f>IF(Calculation!E61=Calculation!$A$143,Calculation!C61,"")</f>
        <v/>
      </c>
      <c r="F61" s="52" t="str">
        <f>IF(Calculation!E61=Calculation!$A$143,Calculation!F61,"")</f>
        <v/>
      </c>
      <c r="G61" s="54" t="str">
        <f>IF(Calculation!E61=Calculation!$A$143,Calculation!G61,"")</f>
        <v/>
      </c>
      <c r="H61" s="54" t="str">
        <f>IF(Calculation!E61=Calculation!$A$143,Calculation!H61,"")</f>
        <v/>
      </c>
      <c r="I61" s="55"/>
    </row>
    <row r="62">
      <c r="A62" s="52" t="str">
        <f>IF(Calculation!E62=Calculation!$A$143,Calculation!B62,"")</f>
        <v/>
      </c>
      <c r="B62" s="53" t="str">
        <f>IF(Calculation!E62=Calculation!$A$143,Calculation!I62,"")</f>
        <v/>
      </c>
      <c r="C62" s="52" t="str">
        <f>IF(Calculation!E62=Calculation!$A$143,Calculation!D62,"")</f>
        <v/>
      </c>
      <c r="D62" s="52" t="str">
        <f>IF(Calculation!E62=Calculation!$A$143,Calculation!$A$54,"")</f>
        <v/>
      </c>
      <c r="E62" s="52" t="str">
        <f>IF(Calculation!E62=Calculation!$A$143,Calculation!C62,"")</f>
        <v/>
      </c>
      <c r="F62" s="52" t="str">
        <f>IF(Calculation!E62=Calculation!$A$143,Calculation!F62,"")</f>
        <v/>
      </c>
      <c r="G62" s="54" t="str">
        <f>IF(Calculation!E62=Calculation!$A$143,Calculation!G62,"")</f>
        <v/>
      </c>
      <c r="H62" s="54" t="str">
        <f>IF(Calculation!E62=Calculation!$A$143,Calculation!H62,"")</f>
        <v/>
      </c>
      <c r="I62" s="55"/>
    </row>
    <row r="63">
      <c r="A63" s="52" t="str">
        <f>IF(Calculation!E63=Calculation!$A$143,Calculation!B63,"")</f>
        <v/>
      </c>
      <c r="B63" s="53" t="str">
        <f>IF(Calculation!E63=Calculation!$A$143,Calculation!I63,"")</f>
        <v/>
      </c>
      <c r="C63" s="52" t="str">
        <f>IF(Calculation!E63=Calculation!$A$143,Calculation!D63,"")</f>
        <v/>
      </c>
      <c r="D63" s="52" t="str">
        <f>IF(Calculation!E63=Calculation!$A$143,Calculation!$A$54,"")</f>
        <v/>
      </c>
      <c r="E63" s="52" t="str">
        <f>IF(Calculation!E63=Calculation!$A$143,Calculation!C63,"")</f>
        <v/>
      </c>
      <c r="F63" s="52" t="str">
        <f>IF(Calculation!E63=Calculation!$A$143,Calculation!F63,"")</f>
        <v/>
      </c>
      <c r="G63" s="54" t="str">
        <f>IF(Calculation!E63=Calculation!$A$143,Calculation!G63,"")</f>
        <v/>
      </c>
      <c r="H63" s="54" t="str">
        <f>IF(Calculation!E63=Calculation!$A$143,Calculation!H63,"")</f>
        <v/>
      </c>
      <c r="I63" s="55"/>
    </row>
    <row r="64">
      <c r="A64" s="52" t="str">
        <f>IF(Calculation!E64=Calculation!$A$143,Calculation!B64,"")</f>
        <v/>
      </c>
      <c r="B64" s="53" t="str">
        <f>IF(Calculation!E64=Calculation!$A$143,Calculation!I64,"")</f>
        <v/>
      </c>
      <c r="C64" s="52" t="str">
        <f>IF(Calculation!E64=Calculation!$A$143,Calculation!D64,"")</f>
        <v/>
      </c>
      <c r="D64" s="52" t="str">
        <f>IF(Calculation!E64=Calculation!$A$143,Calculation!$A$54,"")</f>
        <v/>
      </c>
      <c r="E64" s="52" t="str">
        <f>IF(Calculation!E64=Calculation!$A$143,Calculation!C64,"")</f>
        <v/>
      </c>
      <c r="F64" s="52" t="str">
        <f>IF(Calculation!E64=Calculation!$A$143,Calculation!F64,"")</f>
        <v/>
      </c>
      <c r="G64" s="54" t="str">
        <f>IF(Calculation!E64=Calculation!$A$143,Calculation!G64,"")</f>
        <v/>
      </c>
      <c r="H64" s="54" t="str">
        <f>IF(Calculation!E64=Calculation!$A$143,Calculation!H64,"")</f>
        <v/>
      </c>
      <c r="I64" s="55"/>
    </row>
    <row r="65">
      <c r="A65" s="52" t="str">
        <f>IF(Calculation!E65=Calculation!$A$143,Calculation!B65,"")</f>
        <v/>
      </c>
      <c r="B65" s="53" t="str">
        <f>IF(Calculation!E65=Calculation!$A$143,Calculation!I65,"")</f>
        <v/>
      </c>
      <c r="C65" s="52" t="str">
        <f>IF(Calculation!E65=Calculation!$A$143,Calculation!D65,"")</f>
        <v/>
      </c>
      <c r="D65" s="52" t="str">
        <f>IF(Calculation!E65=Calculation!$A$143,Calculation!$A$54,"")</f>
        <v/>
      </c>
      <c r="E65" s="52" t="str">
        <f>IF(Calculation!E65=Calculation!$A$143,Calculation!C65,"")</f>
        <v/>
      </c>
      <c r="F65" s="52" t="str">
        <f>IF(Calculation!E65=Calculation!$A$143,Calculation!F65,"")</f>
        <v/>
      </c>
      <c r="G65" s="54" t="str">
        <f>IF(Calculation!E65=Calculation!$A$143,Calculation!G65,"")</f>
        <v/>
      </c>
      <c r="H65" s="54" t="str">
        <f>IF(Calculation!E65=Calculation!$A$143,Calculation!H65,"")</f>
        <v/>
      </c>
      <c r="I65" s="55"/>
    </row>
    <row r="66">
      <c r="A66" s="52" t="str">
        <f>IF(Calculation!E66=Calculation!$A$143,Calculation!B66,"")</f>
        <v/>
      </c>
      <c r="B66" s="53" t="str">
        <f>IF(Calculation!E66=Calculation!$A$143,Calculation!I66,"")</f>
        <v/>
      </c>
      <c r="C66" s="52" t="str">
        <f>IF(Calculation!E66=Calculation!$A$143,Calculation!D66,"")</f>
        <v/>
      </c>
      <c r="D66" s="52" t="str">
        <f>IF(Calculation!E66=Calculation!$A$143,Calculation!$A$66,"")</f>
        <v/>
      </c>
      <c r="E66" s="52" t="str">
        <f>IF(Calculation!E66=Calculation!$A$143,Calculation!C66,"")</f>
        <v/>
      </c>
      <c r="F66" s="52" t="str">
        <f>IF(Calculation!E66=Calculation!$A$143,Calculation!F66,"")</f>
        <v/>
      </c>
      <c r="G66" s="54" t="str">
        <f>IF(Calculation!E66=Calculation!$A$143,Calculation!G66,"")</f>
        <v/>
      </c>
      <c r="H66" s="54" t="str">
        <f>IF(Calculation!E66=Calculation!$A$143,Calculation!H66,"")</f>
        <v/>
      </c>
      <c r="I66" s="55"/>
    </row>
    <row r="67">
      <c r="A67" s="52" t="str">
        <f>IF(Calculation!E67=Calculation!$A$143,Calculation!B67,"")</f>
        <v/>
      </c>
      <c r="B67" s="53" t="str">
        <f>IF(Calculation!E67=Calculation!$A$143,Calculation!I67,"")</f>
        <v/>
      </c>
      <c r="C67" s="52" t="str">
        <f>IF(Calculation!E67=Calculation!$A$143,Calculation!D67,"")</f>
        <v/>
      </c>
      <c r="D67" s="52" t="str">
        <f>IF(Calculation!E67=Calculation!$A$143,Calculation!$A$66,"")</f>
        <v/>
      </c>
      <c r="E67" s="52" t="str">
        <f>IF(Calculation!E67=Calculation!$A$143,Calculation!C67,"")</f>
        <v/>
      </c>
      <c r="F67" s="52" t="str">
        <f>IF(Calculation!E67=Calculation!$A$143,Calculation!F67,"")</f>
        <v/>
      </c>
      <c r="G67" s="54" t="str">
        <f>IF(Calculation!E67=Calculation!$A$143,Calculation!G67,"")</f>
        <v/>
      </c>
      <c r="H67" s="54" t="str">
        <f>IF(Calculation!E67=Calculation!$A$143,Calculation!H67,"")</f>
        <v/>
      </c>
      <c r="I67" s="55"/>
    </row>
    <row r="68">
      <c r="A68" s="52" t="str">
        <f>IF(Calculation!E68=Calculation!$A$143,Calculation!B68,"")</f>
        <v/>
      </c>
      <c r="B68" s="53" t="str">
        <f>IF(Calculation!E68=Calculation!$A$143,Calculation!I68,"")</f>
        <v/>
      </c>
      <c r="C68" s="52" t="str">
        <f>IF(Calculation!E68=Calculation!$A$143,Calculation!D68,"")</f>
        <v/>
      </c>
      <c r="D68" s="52" t="str">
        <f>IF(Calculation!E68=Calculation!$A$143,Calculation!$A$66,"")</f>
        <v/>
      </c>
      <c r="E68" s="52" t="str">
        <f>IF(Calculation!E68=Calculation!$A$143,Calculation!C68,"")</f>
        <v/>
      </c>
      <c r="F68" s="52" t="str">
        <f>IF(Calculation!E68=Calculation!$A$143,Calculation!F68,"")</f>
        <v/>
      </c>
      <c r="G68" s="54" t="str">
        <f>IF(Calculation!E68=Calculation!$A$143,Calculation!G68,"")</f>
        <v/>
      </c>
      <c r="H68" s="54" t="str">
        <f>IF(Calculation!E68=Calculation!$A$143,Calculation!H68,"")</f>
        <v/>
      </c>
      <c r="I68" s="55"/>
    </row>
    <row r="69">
      <c r="A69" s="52" t="str">
        <f>IF(Calculation!E69=Calculation!$A$143,Calculation!B69,"")</f>
        <v/>
      </c>
      <c r="B69" s="53" t="str">
        <f>IF(Calculation!E69=Calculation!$A$143,Calculation!I69,"")</f>
        <v/>
      </c>
      <c r="C69" s="52" t="str">
        <f>IF(Calculation!E69=Calculation!$A$143,Calculation!D69,"")</f>
        <v/>
      </c>
      <c r="D69" s="52" t="str">
        <f>IF(Calculation!E69=Calculation!$A$143,Calculation!$A$66,"")</f>
        <v/>
      </c>
      <c r="E69" s="52" t="str">
        <f>IF(Calculation!E69=Calculation!$A$143,Calculation!C69,"")</f>
        <v/>
      </c>
      <c r="F69" s="52" t="str">
        <f>IF(Calculation!E69=Calculation!$A$143,Calculation!F69,"")</f>
        <v/>
      </c>
      <c r="G69" s="54" t="str">
        <f>IF(Calculation!E69=Calculation!$A$143,Calculation!G69,"")</f>
        <v/>
      </c>
      <c r="H69" s="54" t="str">
        <f>IF(Calculation!E69=Calculation!$A$143,Calculation!H69,"")</f>
        <v/>
      </c>
      <c r="I69" s="55"/>
    </row>
    <row r="70">
      <c r="A70" s="52" t="str">
        <f>IF(Calculation!E70=Calculation!$A$143,Calculation!B70,"")</f>
        <v/>
      </c>
      <c r="B70" s="53" t="str">
        <f>IF(Calculation!E70=Calculation!$A$143,Calculation!I70,"")</f>
        <v/>
      </c>
      <c r="C70" s="52" t="str">
        <f>IF(Calculation!E70=Calculation!$A$143,Calculation!D70,"")</f>
        <v/>
      </c>
      <c r="D70" s="52" t="str">
        <f>IF(Calculation!E70=Calculation!$A$143,Calculation!$A$66,"")</f>
        <v/>
      </c>
      <c r="E70" s="52" t="str">
        <f>IF(Calculation!E70=Calculation!$A$143,Calculation!C70,"")</f>
        <v/>
      </c>
      <c r="F70" s="52" t="str">
        <f>IF(Calculation!E70=Calculation!$A$143,Calculation!F70,"")</f>
        <v/>
      </c>
      <c r="G70" s="54" t="str">
        <f>IF(Calculation!E70=Calculation!$A$143,Calculation!G70,"")</f>
        <v/>
      </c>
      <c r="H70" s="54" t="str">
        <f>IF(Calculation!E70=Calculation!$A$143,Calculation!H70,"")</f>
        <v/>
      </c>
      <c r="I70" s="55"/>
    </row>
    <row r="71">
      <c r="A71" s="52" t="str">
        <f>IF(Calculation!E71=Calculation!$A$143,Calculation!B71,"")</f>
        <v/>
      </c>
      <c r="B71" s="53" t="str">
        <f>IF(Calculation!E71=Calculation!$A$143,Calculation!I71,"")</f>
        <v/>
      </c>
      <c r="C71" s="52" t="str">
        <f>IF(Calculation!E71=Calculation!$A$143,Calculation!D71,"")</f>
        <v/>
      </c>
      <c r="D71" s="52" t="str">
        <f>IF(Calculation!E71=Calculation!$A$143,Calculation!$A$66,"")</f>
        <v/>
      </c>
      <c r="E71" s="52" t="str">
        <f>IF(Calculation!E71=Calculation!$A$143,Calculation!C71,"")</f>
        <v/>
      </c>
      <c r="F71" s="52" t="str">
        <f>IF(Calculation!E71=Calculation!$A$143,Calculation!F71,"")</f>
        <v/>
      </c>
      <c r="G71" s="54" t="str">
        <f>IF(Calculation!E71=Calculation!$A$143,Calculation!G71,"")</f>
        <v/>
      </c>
      <c r="H71" s="54" t="str">
        <f>IF(Calculation!E71=Calculation!$A$143,Calculation!H71,"")</f>
        <v/>
      </c>
      <c r="I71" s="55"/>
    </row>
    <row r="72">
      <c r="A72" s="52" t="str">
        <f>IF(Calculation!E72=Calculation!$A$143,Calculation!B72,"")</f>
        <v/>
      </c>
      <c r="B72" s="53" t="str">
        <f>IF(Calculation!E72=Calculation!$A$143,Calculation!I72,"")</f>
        <v/>
      </c>
      <c r="C72" s="52" t="str">
        <f>IF(Calculation!E72=Calculation!$A$143,Calculation!D72,"")</f>
        <v/>
      </c>
      <c r="D72" s="52" t="str">
        <f>IF(Calculation!E72=Calculation!$A$143,Calculation!$A$66,"")</f>
        <v/>
      </c>
      <c r="E72" s="52" t="str">
        <f>IF(Calculation!E72=Calculation!$A$143,Calculation!C72,"")</f>
        <v/>
      </c>
      <c r="F72" s="52" t="str">
        <f>IF(Calculation!E72=Calculation!$A$143,Calculation!F72,"")</f>
        <v/>
      </c>
      <c r="G72" s="54" t="str">
        <f>IF(Calculation!E72=Calculation!$A$143,Calculation!G72,"")</f>
        <v/>
      </c>
      <c r="H72" s="54" t="str">
        <f>IF(Calculation!E72=Calculation!$A$143,Calculation!H72,"")</f>
        <v/>
      </c>
      <c r="I72" s="55"/>
    </row>
    <row r="73">
      <c r="A73" s="52" t="str">
        <f>IF(Calculation!E73=Calculation!$A$143,Calculation!B73,"")</f>
        <v/>
      </c>
      <c r="B73" s="53" t="str">
        <f>IF(Calculation!E73=Calculation!$A$143,Calculation!I73,"")</f>
        <v/>
      </c>
      <c r="C73" s="52" t="str">
        <f>IF(Calculation!E73=Calculation!$A$143,Calculation!D73,"")</f>
        <v/>
      </c>
      <c r="D73" s="52" t="str">
        <f>IF(Calculation!E73=Calculation!$A$143,Calculation!$A$66,"")</f>
        <v/>
      </c>
      <c r="E73" s="52" t="str">
        <f>IF(Calculation!E73=Calculation!$A$143,Calculation!C73,"")</f>
        <v/>
      </c>
      <c r="F73" s="52" t="str">
        <f>IF(Calculation!E73=Calculation!$A$143,Calculation!F73,"")</f>
        <v/>
      </c>
      <c r="G73" s="54" t="str">
        <f>IF(Calculation!E73=Calculation!$A$143,Calculation!G73,"")</f>
        <v/>
      </c>
      <c r="H73" s="54" t="str">
        <f>IF(Calculation!E73=Calculation!$A$143,Calculation!H73,"")</f>
        <v/>
      </c>
      <c r="I73" s="55"/>
    </row>
    <row r="74">
      <c r="A74" s="52" t="str">
        <f>IF(Calculation!E74=Calculation!$A$143,Calculation!B74,"")</f>
        <v/>
      </c>
      <c r="B74" s="53" t="str">
        <f>IF(Calculation!E74=Calculation!$A$143,Calculation!I74,"")</f>
        <v/>
      </c>
      <c r="C74" s="52" t="str">
        <f>IF(Calculation!E74=Calculation!$A$143,Calculation!D74,"")</f>
        <v/>
      </c>
      <c r="D74" s="52" t="str">
        <f>IF(Calculation!E74=Calculation!$A$143,Calculation!$A$66,"")</f>
        <v/>
      </c>
      <c r="E74" s="52" t="str">
        <f>IF(Calculation!E74=Calculation!$A$143,Calculation!C74,"")</f>
        <v/>
      </c>
      <c r="F74" s="52" t="str">
        <f>IF(Calculation!E74=Calculation!$A$143,Calculation!F74,"")</f>
        <v/>
      </c>
      <c r="G74" s="54" t="str">
        <f>IF(Calculation!E74=Calculation!$A$143,Calculation!G74,"")</f>
        <v/>
      </c>
      <c r="H74" s="54" t="str">
        <f>IF(Calculation!E74=Calculation!$A$143,Calculation!H74,"")</f>
        <v/>
      </c>
      <c r="I74" s="55"/>
    </row>
    <row r="75">
      <c r="A75" s="52" t="str">
        <f>IF(Calculation!E75=Calculation!$A$143,Calculation!B75,"")</f>
        <v/>
      </c>
      <c r="B75" s="53" t="str">
        <f>IF(Calculation!E75=Calculation!$A$143,Calculation!I75,"")</f>
        <v/>
      </c>
      <c r="C75" s="52" t="str">
        <f>IF(Calculation!E75=Calculation!$A$143,Calculation!D75,"")</f>
        <v/>
      </c>
      <c r="D75" s="52" t="str">
        <f>IF(Calculation!E75=Calculation!$A$143,Calculation!$A$66,"")</f>
        <v/>
      </c>
      <c r="E75" s="52" t="str">
        <f>IF(Calculation!E75=Calculation!$A$143,Calculation!C75,"")</f>
        <v/>
      </c>
      <c r="F75" s="52" t="str">
        <f>IF(Calculation!E75=Calculation!$A$143,Calculation!F75,"")</f>
        <v/>
      </c>
      <c r="G75" s="54" t="str">
        <f>IF(Calculation!E75=Calculation!$A$143,Calculation!G75,"")</f>
        <v/>
      </c>
      <c r="H75" s="54" t="str">
        <f>IF(Calculation!E75=Calculation!$A$143,Calculation!H75,"")</f>
        <v/>
      </c>
      <c r="I75" s="55"/>
    </row>
    <row r="76">
      <c r="A76" s="52" t="str">
        <f>IF(Calculation!E76=Calculation!$A$143,Calculation!B76,"")</f>
        <v/>
      </c>
      <c r="B76" s="53" t="str">
        <f>IF(Calculation!E76=Calculation!$A$143,Calculation!I76,"")</f>
        <v/>
      </c>
      <c r="C76" s="52" t="str">
        <f>IF(Calculation!E76=Calculation!$A$143,Calculation!D76,"")</f>
        <v/>
      </c>
      <c r="D76" s="52" t="str">
        <f>IF(Calculation!E76=Calculation!$A$143,Calculation!$A$66,"")</f>
        <v/>
      </c>
      <c r="E76" s="52" t="str">
        <f>IF(Calculation!E76=Calculation!$A$143,Calculation!C76,"")</f>
        <v/>
      </c>
      <c r="F76" s="52" t="str">
        <f>IF(Calculation!E76=Calculation!$A$143,Calculation!F76,"")</f>
        <v/>
      </c>
      <c r="G76" s="54" t="str">
        <f>IF(Calculation!E76=Calculation!$A$143,Calculation!G76,"")</f>
        <v/>
      </c>
      <c r="H76" s="54" t="str">
        <f>IF(Calculation!E76=Calculation!$A$143,Calculation!H76,"")</f>
        <v/>
      </c>
      <c r="I76" s="55"/>
    </row>
    <row r="77" ht="22.5" customHeight="1">
      <c r="A77" s="52" t="str">
        <f>IF(Calculation!E77=Calculation!$A$143,Calculation!B77,"")</f>
        <v/>
      </c>
      <c r="B77" s="53" t="str">
        <f>IF(Calculation!E77=Calculation!$A$143,Calculation!I77,"")</f>
        <v/>
      </c>
      <c r="C77" s="52" t="str">
        <f>IF(Calculation!E77=Calculation!$A$143,Calculation!D77,"")</f>
        <v/>
      </c>
      <c r="D77" s="52" t="str">
        <f>IF(Calculation!E77=Calculation!$A$143,Calculation!$A$66,"")</f>
        <v/>
      </c>
      <c r="E77" s="52" t="str">
        <f>IF(Calculation!E77=Calculation!$A$143,Calculation!C77,"")</f>
        <v/>
      </c>
      <c r="F77" s="52" t="str">
        <f>IF(Calculation!E77=Calculation!$A$143,Calculation!F77,"")</f>
        <v/>
      </c>
      <c r="G77" s="54" t="str">
        <f>IF(Calculation!E77=Calculation!$A$143,Calculation!G77,"")</f>
        <v/>
      </c>
      <c r="H77" s="54" t="str">
        <f>IF(Calculation!E77=Calculation!$A$143,Calculation!H77,"")</f>
        <v/>
      </c>
      <c r="I77" s="55"/>
    </row>
    <row r="78" ht="21.75" customHeight="1">
      <c r="A78" s="52" t="str">
        <f>IF(Calculation!E78=Calculation!$A$143,Calculation!B78,"")</f>
        <v/>
      </c>
      <c r="B78" s="53" t="str">
        <f>IF(Calculation!E78=Calculation!$A$143,Calculation!I78,"")</f>
        <v/>
      </c>
      <c r="C78" s="52" t="str">
        <f>IF(Calculation!E78=Calculation!$A$143,Calculation!D78,"")</f>
        <v/>
      </c>
      <c r="D78" s="52" t="str">
        <f>IF(Calculation!E78=Calculation!$A$143,Calculation!$A$66,"")</f>
        <v/>
      </c>
      <c r="E78" s="52" t="str">
        <f>IF(Calculation!E78=Calculation!$A$143,Calculation!C78,"")</f>
        <v/>
      </c>
      <c r="F78" s="52" t="str">
        <f>IF(Calculation!E78=Calculation!$A$143,Calculation!F78,"")</f>
        <v/>
      </c>
      <c r="G78" s="54" t="str">
        <f>IF(Calculation!E78=Calculation!$A$143,Calculation!G78,"")</f>
        <v/>
      </c>
      <c r="H78" s="54" t="str">
        <f>IF(Calculation!E78=Calculation!$A$143,Calculation!H78,"")</f>
        <v/>
      </c>
      <c r="I78" s="55"/>
    </row>
    <row r="79" ht="24.0" customHeight="1">
      <c r="A79" s="52" t="str">
        <f>IF(Calculation!E79=Calculation!$A$143,Calculation!B79,"")</f>
        <v/>
      </c>
      <c r="B79" s="53" t="str">
        <f>IF(Calculation!E79=Calculation!$A$143,Calculation!I79,"")</f>
        <v/>
      </c>
      <c r="C79" s="52" t="str">
        <f>IF(Calculation!E79=Calculation!$A$143,Calculation!D79,"")</f>
        <v/>
      </c>
      <c r="D79" s="52" t="str">
        <f>IF(Calculation!E79=Calculation!$A$143,Calculation!$A$79,"")</f>
        <v/>
      </c>
      <c r="E79" s="52" t="str">
        <f>IF(Calculation!E79=Calculation!$A$143,Calculation!C79,"")</f>
        <v/>
      </c>
      <c r="F79" s="52" t="str">
        <f>IF(Calculation!E79=Calculation!$A$143,Calculation!F79,"")</f>
        <v/>
      </c>
      <c r="G79" s="54" t="str">
        <f>IF(Calculation!E79=Calculation!$A$143,Calculation!G79,"")</f>
        <v/>
      </c>
      <c r="H79" s="54" t="str">
        <f>IF(Calculation!E79=Calculation!$A$143,Calculation!H79,"")</f>
        <v/>
      </c>
      <c r="I79" s="55"/>
    </row>
    <row r="80" ht="21.75" customHeight="1">
      <c r="A80" s="52" t="str">
        <f>IF(Calculation!E80=Calculation!$A$143,Calculation!B80,"")</f>
        <v/>
      </c>
      <c r="B80" s="53" t="str">
        <f>IF(Calculation!E80=Calculation!$A$143,Calculation!I80,"")</f>
        <v/>
      </c>
      <c r="C80" s="52" t="str">
        <f>IF(Calculation!E80=Calculation!$A$143,Calculation!D80,"")</f>
        <v/>
      </c>
      <c r="D80" s="52" t="str">
        <f>IF(Calculation!E80=Calculation!$A$143,Calculation!$A$79,"")</f>
        <v/>
      </c>
      <c r="E80" s="52" t="str">
        <f>IF(Calculation!E80=Calculation!$A$143,Calculation!C80,"")</f>
        <v/>
      </c>
      <c r="F80" s="52" t="str">
        <f>IF(Calculation!E80=Calculation!$A$143,Calculation!F80,"")</f>
        <v/>
      </c>
      <c r="G80" s="54" t="str">
        <f>IF(Calculation!E80=Calculation!$A$143,Calculation!G80,"")</f>
        <v/>
      </c>
      <c r="H80" s="54" t="str">
        <f>IF(Calculation!E80=Calculation!$A$143,Calculation!H80,"")</f>
        <v/>
      </c>
      <c r="I80" s="55"/>
    </row>
    <row r="81" ht="20.25" customHeight="1">
      <c r="A81" s="52" t="str">
        <f>IF(Calculation!E81=Calculation!$A$143,Calculation!B81,"")</f>
        <v/>
      </c>
      <c r="B81" s="53" t="str">
        <f>IF(Calculation!E81=Calculation!$A$143,Calculation!I81,"")</f>
        <v/>
      </c>
      <c r="C81" s="52" t="str">
        <f>IF(Calculation!E81=Calculation!$A$143,Calculation!D81,"")</f>
        <v/>
      </c>
      <c r="D81" s="52" t="str">
        <f>IF(Calculation!E81=Calculation!$A$143,Calculation!$A$79,"")</f>
        <v/>
      </c>
      <c r="E81" s="52" t="str">
        <f>IF(Calculation!E81=Calculation!$A$143,Calculation!C81,"")</f>
        <v/>
      </c>
      <c r="F81" s="52" t="str">
        <f>IF(Calculation!E81=Calculation!$A$143,Calculation!F81,"")</f>
        <v/>
      </c>
      <c r="G81" s="54" t="str">
        <f>IF(Calculation!E81=Calculation!$A$143,Calculation!G81,"")</f>
        <v/>
      </c>
      <c r="H81" s="54" t="str">
        <f>IF(Calculation!E81=Calculation!$A$143,Calculation!H81,"")</f>
        <v/>
      </c>
      <c r="I81" s="55"/>
    </row>
    <row r="82">
      <c r="A82" s="52" t="str">
        <f>IF(Calculation!E82=Calculation!$A$143,Calculation!B82,"")</f>
        <v/>
      </c>
      <c r="B82" s="53" t="str">
        <f>IF(Calculation!E82=Calculation!$A$143,Calculation!I82,"")</f>
        <v/>
      </c>
      <c r="C82" s="52" t="str">
        <f>IF(Calculation!E82=Calculation!$A$143,Calculation!D82,"")</f>
        <v/>
      </c>
      <c r="D82" s="52" t="str">
        <f>IF(Calculation!E82=Calculation!$A$143,Calculation!$A$79,"")</f>
        <v/>
      </c>
      <c r="E82" s="52" t="str">
        <f>IF(Calculation!E82=Calculation!$A$143,Calculation!C82,"")</f>
        <v/>
      </c>
      <c r="F82" s="52" t="str">
        <f>IF(Calculation!E82=Calculation!$A$143,Calculation!F82,"")</f>
        <v/>
      </c>
      <c r="G82" s="54" t="str">
        <f>IF(Calculation!E82=Calculation!$A$143,Calculation!G82,"")</f>
        <v/>
      </c>
      <c r="H82" s="54" t="str">
        <f>IF(Calculation!E82=Calculation!$A$143,Calculation!H82,"")</f>
        <v/>
      </c>
      <c r="I82" s="55"/>
    </row>
    <row r="83">
      <c r="A83" s="52" t="str">
        <f>IF(Calculation!E83=Calculation!$A$143,Calculation!B83,"")</f>
        <v/>
      </c>
      <c r="B83" s="53" t="str">
        <f>IF(Calculation!E83=Calculation!$A$143,Calculation!I83,"")</f>
        <v/>
      </c>
      <c r="C83" s="52" t="str">
        <f>IF(Calculation!E83=Calculation!$A$143,Calculation!D83,"")</f>
        <v/>
      </c>
      <c r="D83" s="52" t="str">
        <f>IF(Calculation!E83=Calculation!$A$143,Calculation!$A$79,"")</f>
        <v/>
      </c>
      <c r="E83" s="52" t="str">
        <f>IF(Calculation!E83=Calculation!$A$143,Calculation!C83,"")</f>
        <v/>
      </c>
      <c r="F83" s="52" t="str">
        <f>IF(Calculation!E83=Calculation!$A$143,Calculation!F83,"")</f>
        <v/>
      </c>
      <c r="G83" s="54" t="str">
        <f>IF(Calculation!E83=Calculation!$A$143,Calculation!G83,"")</f>
        <v/>
      </c>
      <c r="H83" s="54" t="str">
        <f>IF(Calculation!E83=Calculation!$A$143,Calculation!H83,"")</f>
        <v/>
      </c>
      <c r="I83" s="55"/>
    </row>
    <row r="84">
      <c r="A84" s="52" t="str">
        <f>IF(Calculation!E84=Calculation!$A$143,Calculation!B84,"")</f>
        <v/>
      </c>
      <c r="B84" s="53" t="str">
        <f>IF(Calculation!E84=Calculation!$A$143,Calculation!I84,"")</f>
        <v/>
      </c>
      <c r="C84" s="52" t="str">
        <f>IF(Calculation!E84=Calculation!$A$143,Calculation!D84,"")</f>
        <v/>
      </c>
      <c r="D84" s="52" t="str">
        <f>IF(Calculation!E84=Calculation!$A$143,Calculation!$A$79,"")</f>
        <v/>
      </c>
      <c r="E84" s="52" t="str">
        <f>IF(Calculation!E84=Calculation!$A$143,Calculation!C84,"")</f>
        <v/>
      </c>
      <c r="F84" s="52" t="str">
        <f>IF(Calculation!E84=Calculation!$A$143,Calculation!F84,"")</f>
        <v/>
      </c>
      <c r="G84" s="54" t="str">
        <f>IF(Calculation!E84=Calculation!$A$143,Calculation!G84,"")</f>
        <v/>
      </c>
      <c r="H84" s="54" t="str">
        <f>IF(Calculation!E84=Calculation!$A$143,Calculation!H84,"")</f>
        <v/>
      </c>
      <c r="I84" s="55"/>
    </row>
    <row r="85">
      <c r="A85" s="52" t="str">
        <f>IF(Calculation!E85=Calculation!$A$143,Calculation!B85,"")</f>
        <v/>
      </c>
      <c r="B85" s="53" t="str">
        <f>IF(Calculation!E85=Calculation!$A$143,Calculation!I85,"")</f>
        <v/>
      </c>
      <c r="C85" s="52" t="str">
        <f>IF(Calculation!E85=Calculation!$A$143,Calculation!D85,"")</f>
        <v/>
      </c>
      <c r="D85" s="52" t="str">
        <f>IF(Calculation!E85=Calculation!$A$143,Calculation!$A$79,"")</f>
        <v/>
      </c>
      <c r="E85" s="52" t="str">
        <f>IF(Calculation!E85=Calculation!$A$143,Calculation!C85,"")</f>
        <v/>
      </c>
      <c r="F85" s="52" t="str">
        <f>IF(Calculation!E85=Calculation!$A$143,Calculation!F85,"")</f>
        <v/>
      </c>
      <c r="G85" s="54" t="str">
        <f>IF(Calculation!E85=Calculation!$A$143,Calculation!G85,"")</f>
        <v/>
      </c>
      <c r="H85" s="54" t="str">
        <f>IF(Calculation!E85=Calculation!$A$143,Calculation!H85,"")</f>
        <v/>
      </c>
      <c r="I85" s="55"/>
    </row>
    <row r="86">
      <c r="A86" s="52" t="str">
        <f>IF(Calculation!E86=Calculation!$A$143,Calculation!B86,"")</f>
        <v/>
      </c>
      <c r="B86" s="53" t="str">
        <f>IF(Calculation!E86=Calculation!$A$143,Calculation!I86,"")</f>
        <v/>
      </c>
      <c r="C86" s="52" t="str">
        <f>IF(Calculation!E86=Calculation!$A$143,Calculation!D86,"")</f>
        <v/>
      </c>
      <c r="D86" s="52" t="str">
        <f>IF(Calculation!E86=Calculation!$A$143,Calculation!$A$79,"")</f>
        <v/>
      </c>
      <c r="E86" s="52" t="str">
        <f>IF(Calculation!E86=Calculation!$A$143,Calculation!C86,"")</f>
        <v/>
      </c>
      <c r="F86" s="52" t="str">
        <f>IF(Calculation!E86=Calculation!$A$143,Calculation!F86,"")</f>
        <v/>
      </c>
      <c r="G86" s="54" t="str">
        <f>IF(Calculation!E86=Calculation!$A$143,Calculation!G86,"")</f>
        <v/>
      </c>
      <c r="H86" s="54" t="str">
        <f>IF(Calculation!E86=Calculation!$A$143,Calculation!H86,"")</f>
        <v/>
      </c>
      <c r="I86" s="55"/>
    </row>
    <row r="87">
      <c r="A87" s="52" t="str">
        <f>IF(Calculation!E87=Calculation!$A$143,Calculation!B87,"")</f>
        <v/>
      </c>
      <c r="B87" s="53" t="str">
        <f>IF(Calculation!E87=Calculation!$A$143,Calculation!I87,"")</f>
        <v/>
      </c>
      <c r="C87" s="52" t="str">
        <f>IF(Calculation!E87=Calculation!$A$143,Calculation!D87,"")</f>
        <v/>
      </c>
      <c r="D87" s="52" t="str">
        <f>IF(Calculation!E87=Calculation!$A$143,Calculation!$A$79,"")</f>
        <v/>
      </c>
      <c r="E87" s="52" t="str">
        <f>IF(Calculation!E87=Calculation!$A$143,Calculation!C87,"")</f>
        <v/>
      </c>
      <c r="F87" s="52" t="str">
        <f>IF(Calculation!E87=Calculation!$A$143,Calculation!F87,"")</f>
        <v/>
      </c>
      <c r="G87" s="54" t="str">
        <f>IF(Calculation!E87=Calculation!$A$143,Calculation!G87,"")</f>
        <v/>
      </c>
      <c r="H87" s="54" t="str">
        <f>IF(Calculation!E87=Calculation!$A$143,Calculation!H87,"")</f>
        <v/>
      </c>
      <c r="I87" s="55"/>
    </row>
    <row r="88">
      <c r="A88" s="52" t="str">
        <f>IF(Calculation!E88=Calculation!$A$143,Calculation!B88,"")</f>
        <v/>
      </c>
      <c r="B88" s="53" t="str">
        <f>IF(Calculation!E88=Calculation!$A$143,Calculation!I88,"")</f>
        <v/>
      </c>
      <c r="C88" s="52" t="str">
        <f>IF(Calculation!E88=Calculation!$A$143,Calculation!D88,"")</f>
        <v/>
      </c>
      <c r="D88" s="52" t="str">
        <f>IF(Calculation!E88=Calculation!$A$143,Calculation!$A$79,"")</f>
        <v/>
      </c>
      <c r="E88" s="52" t="str">
        <f>IF(Calculation!E88=Calculation!$A$143,Calculation!C88,"")</f>
        <v/>
      </c>
      <c r="F88" s="52" t="str">
        <f>IF(Calculation!E88=Calculation!$A$143,Calculation!F88,"")</f>
        <v/>
      </c>
      <c r="G88" s="54" t="str">
        <f>IF(Calculation!E88=Calculation!$A$143,Calculation!G88,"")</f>
        <v/>
      </c>
      <c r="H88" s="54" t="str">
        <f>IF(Calculation!E88=Calculation!$A$143,Calculation!H88,"")</f>
        <v/>
      </c>
      <c r="I88" s="55"/>
    </row>
    <row r="89">
      <c r="A89" s="52" t="str">
        <f>IF(Calculation!E89=Calculation!$A$143,Calculation!B89,"")</f>
        <v/>
      </c>
      <c r="B89" s="53" t="str">
        <f>IF(Calculation!E89=Calculation!$A$143,Calculation!I89,"")</f>
        <v/>
      </c>
      <c r="C89" s="52" t="str">
        <f>IF(Calculation!E89=Calculation!$A$143,Calculation!D89,"")</f>
        <v/>
      </c>
      <c r="D89" s="52" t="str">
        <f>IF(Calculation!E89=Calculation!$A$143,Calculation!$A$79,"")</f>
        <v/>
      </c>
      <c r="E89" s="52" t="str">
        <f>IF(Calculation!E89=Calculation!$A$143,Calculation!C89,"")</f>
        <v/>
      </c>
      <c r="F89" s="52" t="str">
        <f>IF(Calculation!E89=Calculation!$A$143,Calculation!F89,"")</f>
        <v/>
      </c>
      <c r="G89" s="54" t="str">
        <f>IF(Calculation!E89=Calculation!$A$143,Calculation!G89,"")</f>
        <v/>
      </c>
      <c r="H89" s="54" t="str">
        <f>IF(Calculation!E89=Calculation!$A$143,Calculation!H89,"")</f>
        <v/>
      </c>
      <c r="I89" s="55"/>
    </row>
    <row r="90">
      <c r="A90" s="52" t="str">
        <f>IF(Calculation!E90=Calculation!$A$143,Calculation!B90,"")</f>
        <v/>
      </c>
      <c r="B90" s="53" t="str">
        <f>IF(Calculation!E90=Calculation!$A$143,Calculation!I90,"")</f>
        <v/>
      </c>
      <c r="C90" s="52" t="str">
        <f>IF(Calculation!E90=Calculation!$A$143,Calculation!D90,"")</f>
        <v/>
      </c>
      <c r="D90" s="52" t="str">
        <f>IF(Calculation!E90=Calculation!$A$143,Calculation!$A$79,"")</f>
        <v/>
      </c>
      <c r="E90" s="52" t="str">
        <f>IF(Calculation!E90=Calculation!$A$143,Calculation!C90,"")</f>
        <v/>
      </c>
      <c r="F90" s="52" t="str">
        <f>IF(Calculation!E90=Calculation!$A$143,Calculation!F90,"")</f>
        <v/>
      </c>
      <c r="G90" s="54" t="str">
        <f>IF(Calculation!E90=Calculation!$A$143,Calculation!G90,"")</f>
        <v/>
      </c>
      <c r="H90" s="54" t="str">
        <f>IF(Calculation!E90=Calculation!$A$143,Calculation!H90,"")</f>
        <v/>
      </c>
      <c r="I90" s="55"/>
    </row>
    <row r="91">
      <c r="A91" s="52" t="str">
        <f>IF(Calculation!E91=Calculation!$A$143,Calculation!B91,"")</f>
        <v/>
      </c>
      <c r="B91" s="53" t="str">
        <f>IF(Calculation!E91=Calculation!$A$143,Calculation!I91,"")</f>
        <v/>
      </c>
      <c r="C91" s="52" t="str">
        <f>IF(Calculation!E91=Calculation!$A$143,Calculation!D91,"")</f>
        <v/>
      </c>
      <c r="D91" s="52" t="str">
        <f>IF(Calculation!E91=Calculation!$A$143,Calculation!$A$79,"")</f>
        <v/>
      </c>
      <c r="E91" s="52" t="str">
        <f>IF(Calculation!E91=Calculation!$A$143,Calculation!C91,"")</f>
        <v/>
      </c>
      <c r="F91" s="52" t="str">
        <f>IF(Calculation!E91=Calculation!$A$143,Calculation!F91,"")</f>
        <v/>
      </c>
      <c r="G91" s="54" t="str">
        <f>IF(Calculation!E91=Calculation!$A$143,Calculation!G91,"")</f>
        <v/>
      </c>
      <c r="H91" s="54" t="str">
        <f>IF(Calculation!E91=Calculation!$A$143,Calculation!H91,"")</f>
        <v/>
      </c>
      <c r="I91" s="55"/>
    </row>
    <row r="92">
      <c r="A92" s="52" t="str">
        <f>IF(Calculation!E92=Calculation!$A$143,Calculation!B92,"")</f>
        <v/>
      </c>
      <c r="B92" s="53" t="str">
        <f>IF(Calculation!E92=Calculation!$A$143,Calculation!I92,"")</f>
        <v/>
      </c>
      <c r="C92" s="52" t="str">
        <f>IF(Calculation!E92=Calculation!$A$143,Calculation!D92,"")</f>
        <v/>
      </c>
      <c r="D92" s="52" t="str">
        <f>IF(Calculation!E92=Calculation!$A$143,Calculation!$A$92,"")</f>
        <v/>
      </c>
      <c r="E92" s="52" t="str">
        <f>IF(Calculation!E92=Calculation!$A$143,Calculation!C92,"")</f>
        <v/>
      </c>
      <c r="F92" s="52" t="str">
        <f>IF(Calculation!E92=Calculation!$A$143,Calculation!F92,"")</f>
        <v/>
      </c>
      <c r="G92" s="54" t="str">
        <f>IF(Calculation!E92=Calculation!$A$143,Calculation!G92,"")</f>
        <v/>
      </c>
      <c r="H92" s="54" t="str">
        <f>IF(Calculation!E92=Calculation!$A$143,Calculation!H92,"")</f>
        <v/>
      </c>
      <c r="I92" s="55"/>
    </row>
    <row r="93">
      <c r="A93" s="52" t="str">
        <f>IF(Calculation!E93=Calculation!$A$143,Calculation!B93,"")</f>
        <v/>
      </c>
      <c r="B93" s="53" t="str">
        <f>IF(Calculation!E93=Calculation!$A$143,Calculation!I93,"")</f>
        <v/>
      </c>
      <c r="C93" s="52" t="str">
        <f>IF(Calculation!E93=Calculation!$A$143,Calculation!D93,"")</f>
        <v/>
      </c>
      <c r="D93" s="52" t="str">
        <f>IF(Calculation!E93=Calculation!$A$143,Calculation!$A$92,"")</f>
        <v/>
      </c>
      <c r="E93" s="52" t="str">
        <f>IF(Calculation!E93=Calculation!$A$143,Calculation!C93,"")</f>
        <v/>
      </c>
      <c r="F93" s="52" t="str">
        <f>IF(Calculation!E93=Calculation!$A$143,Calculation!F93,"")</f>
        <v/>
      </c>
      <c r="G93" s="54" t="str">
        <f>IF(Calculation!E93=Calculation!$A$143,Calculation!G93,"")</f>
        <v/>
      </c>
      <c r="H93" s="54" t="str">
        <f>IF(Calculation!E93=Calculation!$A$143,Calculation!H93,"")</f>
        <v/>
      </c>
      <c r="I93" s="55"/>
    </row>
    <row r="94">
      <c r="A94" s="52" t="str">
        <f>IF(Calculation!E94=Calculation!$A$143,Calculation!B94,"")</f>
        <v/>
      </c>
      <c r="B94" s="53" t="str">
        <f>IF(Calculation!E94=Calculation!$A$143,Calculation!I94,"")</f>
        <v/>
      </c>
      <c r="C94" s="52" t="str">
        <f>IF(Calculation!E94=Calculation!$A$143,Calculation!D94,"")</f>
        <v/>
      </c>
      <c r="D94" s="52" t="str">
        <f>IF(Calculation!E94=Calculation!$A$143,Calculation!$A$92,"")</f>
        <v/>
      </c>
      <c r="E94" s="52" t="str">
        <f>IF(Calculation!E94=Calculation!$A$143,Calculation!C94,"")</f>
        <v/>
      </c>
      <c r="F94" s="52" t="str">
        <f>IF(Calculation!E94=Calculation!$A$143,Calculation!F94,"")</f>
        <v/>
      </c>
      <c r="G94" s="54" t="str">
        <f>IF(Calculation!E94=Calculation!$A$143,Calculation!G94,"")</f>
        <v/>
      </c>
      <c r="H94" s="54" t="str">
        <f>IF(Calculation!E94=Calculation!$A$143,Calculation!H94,"")</f>
        <v/>
      </c>
      <c r="I94" s="55"/>
    </row>
    <row r="95">
      <c r="A95" s="52" t="str">
        <f>IF(Calculation!E95=Calculation!$A$143,Calculation!B95,"")</f>
        <v/>
      </c>
      <c r="B95" s="53" t="str">
        <f>IF(Calculation!E95=Calculation!$A$143,Calculation!I95,"")</f>
        <v/>
      </c>
      <c r="C95" s="52" t="str">
        <f>IF(Calculation!E95=Calculation!$A$143,Calculation!D95,"")</f>
        <v/>
      </c>
      <c r="D95" s="52" t="str">
        <f>IF(Calculation!E95=Calculation!$A$143,Calculation!$A$92,"")</f>
        <v/>
      </c>
      <c r="E95" s="52" t="str">
        <f>IF(Calculation!E95=Calculation!$A$143,Calculation!C95,"")</f>
        <v/>
      </c>
      <c r="F95" s="52" t="str">
        <f>IF(Calculation!E95=Calculation!$A$143,Calculation!F95,"")</f>
        <v/>
      </c>
      <c r="G95" s="54" t="str">
        <f>IF(Calculation!E95=Calculation!$A$143,Calculation!G95,"")</f>
        <v/>
      </c>
      <c r="H95" s="54" t="str">
        <f>IF(Calculation!E95=Calculation!$A$143,Calculation!H95,"")</f>
        <v/>
      </c>
      <c r="I95" s="55"/>
    </row>
    <row r="96">
      <c r="A96" s="52" t="str">
        <f>IF(Calculation!E96=Calculation!$A$143,Calculation!B96,"")</f>
        <v/>
      </c>
      <c r="B96" s="53" t="str">
        <f>IF(Calculation!E96=Calculation!$A$143,Calculation!I96,"")</f>
        <v/>
      </c>
      <c r="C96" s="52" t="str">
        <f>IF(Calculation!E96=Calculation!$A$143,Calculation!D96,"")</f>
        <v/>
      </c>
      <c r="D96" s="52" t="str">
        <f>IF(Calculation!E96=Calculation!$A$143,Calculation!$A$92,"")</f>
        <v/>
      </c>
      <c r="E96" s="52" t="str">
        <f>IF(Calculation!E96=Calculation!$A$143,Calculation!C96,"")</f>
        <v/>
      </c>
      <c r="F96" s="52" t="str">
        <f>IF(Calculation!E96=Calculation!$A$143,Calculation!F96,"")</f>
        <v/>
      </c>
      <c r="G96" s="54" t="str">
        <f>IF(Calculation!E96=Calculation!$A$143,Calculation!G96,"")</f>
        <v/>
      </c>
      <c r="H96" s="54" t="str">
        <f>IF(Calculation!E96=Calculation!$A$143,Calculation!H96,"")</f>
        <v/>
      </c>
      <c r="I96" s="55"/>
    </row>
    <row r="97">
      <c r="A97" s="52" t="str">
        <f>IF(Calculation!E97=Calculation!$A$143,Calculation!B97,"")</f>
        <v/>
      </c>
      <c r="B97" s="53" t="str">
        <f>IF(Calculation!E97=Calculation!$A$143,Calculation!I97,"")</f>
        <v/>
      </c>
      <c r="C97" s="52" t="str">
        <f>IF(Calculation!E97=Calculation!$A$143,Calculation!D97,"")</f>
        <v/>
      </c>
      <c r="D97" s="52" t="str">
        <f>IF(Calculation!E97=Calculation!$A$143,Calculation!$A$92,"")</f>
        <v/>
      </c>
      <c r="E97" s="52" t="str">
        <f>IF(Calculation!E97=Calculation!$A$143,Calculation!C97,"")</f>
        <v/>
      </c>
      <c r="F97" s="52" t="str">
        <f>IF(Calculation!E97=Calculation!$A$143,Calculation!F97,"")</f>
        <v/>
      </c>
      <c r="G97" s="54" t="str">
        <f>IF(Calculation!E97=Calculation!$A$143,Calculation!G97,"")</f>
        <v/>
      </c>
      <c r="H97" s="54" t="str">
        <f>IF(Calculation!E97=Calculation!$A$143,Calculation!H97,"")</f>
        <v/>
      </c>
      <c r="I97" s="55"/>
    </row>
    <row r="98">
      <c r="A98" s="52" t="str">
        <f>IF(Calculation!E98=Calculation!$A$143,Calculation!B98,"")</f>
        <v/>
      </c>
      <c r="B98" s="53" t="str">
        <f>IF(Calculation!E98=Calculation!$A$143,Calculation!I98,"")</f>
        <v/>
      </c>
      <c r="C98" s="52" t="str">
        <f>IF(Calculation!E98=Calculation!$A$143,Calculation!D98,"")</f>
        <v/>
      </c>
      <c r="D98" s="52" t="str">
        <f>IF(Calculation!E98=Calculation!$A$143,Calculation!$A$92,"")</f>
        <v/>
      </c>
      <c r="E98" s="52" t="str">
        <f>IF(Calculation!E98=Calculation!$A$143,Calculation!C98,"")</f>
        <v/>
      </c>
      <c r="F98" s="52" t="str">
        <f>IF(Calculation!E98=Calculation!$A$143,Calculation!F98,"")</f>
        <v/>
      </c>
      <c r="G98" s="54" t="str">
        <f>IF(Calculation!E98=Calculation!$A$143,Calculation!G98,"")</f>
        <v/>
      </c>
      <c r="H98" s="54" t="str">
        <f>IF(Calculation!E98=Calculation!$A$143,Calculation!H98,"")</f>
        <v/>
      </c>
      <c r="I98" s="55"/>
    </row>
    <row r="99">
      <c r="A99" s="52" t="str">
        <f>IF(Calculation!E99=Calculation!$A$143,Calculation!B99,"")</f>
        <v/>
      </c>
      <c r="B99" s="53" t="str">
        <f>IF(Calculation!E99=Calculation!$A$143,Calculation!I99,"")</f>
        <v/>
      </c>
      <c r="C99" s="52" t="str">
        <f>IF(Calculation!E99=Calculation!$A$143,Calculation!D99,"")</f>
        <v/>
      </c>
      <c r="D99" s="52" t="str">
        <f>IF(Calculation!E99=Calculation!$A$143,Calculation!$A$92,"")</f>
        <v/>
      </c>
      <c r="E99" s="52" t="str">
        <f>IF(Calculation!E99=Calculation!$A$143,Calculation!C99,"")</f>
        <v/>
      </c>
      <c r="F99" s="52" t="str">
        <f>IF(Calculation!E99=Calculation!$A$143,Calculation!F99,"")</f>
        <v/>
      </c>
      <c r="G99" s="54" t="str">
        <f>IF(Calculation!E99=Calculation!$A$143,Calculation!G99,"")</f>
        <v/>
      </c>
      <c r="H99" s="54" t="str">
        <f>IF(Calculation!E99=Calculation!$A$143,Calculation!H99,"")</f>
        <v/>
      </c>
      <c r="I99" s="55"/>
    </row>
    <row r="100">
      <c r="A100" s="52" t="str">
        <f>IF(Calculation!E100=Calculation!$A$143,Calculation!B100,"")</f>
        <v/>
      </c>
      <c r="B100" s="53" t="str">
        <f>IF(Calculation!E100=Calculation!$A$143,Calculation!I100,"")</f>
        <v/>
      </c>
      <c r="C100" s="52" t="str">
        <f>IF(Calculation!E100=Calculation!$A$143,Calculation!D100,"")</f>
        <v/>
      </c>
      <c r="D100" s="52" t="str">
        <f>IF(Calculation!E100=Calculation!$A$143,Calculation!$A$92,"")</f>
        <v/>
      </c>
      <c r="E100" s="52" t="str">
        <f>IF(Calculation!E100=Calculation!$A$143,Calculation!C100,"")</f>
        <v/>
      </c>
      <c r="F100" s="52" t="str">
        <f>IF(Calculation!E100=Calculation!$A$143,Calculation!F100,"")</f>
        <v/>
      </c>
      <c r="G100" s="54" t="str">
        <f>IF(Calculation!E100=Calculation!$A$143,Calculation!G100,"")</f>
        <v/>
      </c>
      <c r="H100" s="54" t="str">
        <f>IF(Calculation!E100=Calculation!$A$143,Calculation!H100,"")</f>
        <v/>
      </c>
      <c r="I100" s="55"/>
    </row>
    <row r="101">
      <c r="A101" s="52" t="str">
        <f>IF(Calculation!E101=Calculation!$A$143,Calculation!B101,"")</f>
        <v/>
      </c>
      <c r="B101" s="53" t="str">
        <f>IF(Calculation!E101=Calculation!$A$143,Calculation!I101,"")</f>
        <v/>
      </c>
      <c r="C101" s="52" t="str">
        <f>IF(Calculation!E101=Calculation!$A$143,Calculation!D101,"")</f>
        <v/>
      </c>
      <c r="D101" s="52" t="str">
        <f>IF(Calculation!E101=Calculation!$A$143,Calculation!$A$92,"")</f>
        <v/>
      </c>
      <c r="E101" s="52" t="str">
        <f>IF(Calculation!E101=Calculation!$A$143,Calculation!C101,"")</f>
        <v/>
      </c>
      <c r="F101" s="52" t="str">
        <f>IF(Calculation!E101=Calculation!$A$143,Calculation!F101,"")</f>
        <v/>
      </c>
      <c r="G101" s="54" t="str">
        <f>IF(Calculation!E101=Calculation!$A$143,Calculation!G101,"")</f>
        <v/>
      </c>
      <c r="H101" s="54" t="str">
        <f>IF(Calculation!E101=Calculation!$A$143,Calculation!H101,"")</f>
        <v/>
      </c>
      <c r="I101" s="55"/>
    </row>
    <row r="102">
      <c r="A102" s="52" t="str">
        <f>IF(Calculation!E102=Calculation!$A$143,Calculation!B102,"")</f>
        <v/>
      </c>
      <c r="B102" s="53" t="str">
        <f>IF(Calculation!E102=Calculation!$A$143,Calculation!I102,"")</f>
        <v/>
      </c>
      <c r="C102" s="52" t="str">
        <f>IF(Calculation!E102=Calculation!$A$143,Calculation!D102,"")</f>
        <v/>
      </c>
      <c r="D102" s="52" t="str">
        <f>IF(Calculation!E102=Calculation!$A$143,Calculation!$A$92,"")</f>
        <v/>
      </c>
      <c r="E102" s="52" t="str">
        <f>IF(Calculation!E102=Calculation!$A$143,Calculation!C102,"")</f>
        <v/>
      </c>
      <c r="F102" s="52" t="str">
        <f>IF(Calculation!E102=Calculation!$A$143,Calculation!F102,"")</f>
        <v/>
      </c>
      <c r="G102" s="54" t="str">
        <f>IF(Calculation!E102=Calculation!$A$143,Calculation!G102,"")</f>
        <v/>
      </c>
      <c r="H102" s="54" t="str">
        <f>IF(Calculation!E102=Calculation!$A$143,Calculation!H102,"")</f>
        <v/>
      </c>
      <c r="I102" s="55"/>
    </row>
    <row r="103">
      <c r="A103" s="52" t="str">
        <f>IF(Calculation!E103=Calculation!$A$143,Calculation!B103,"")</f>
        <v/>
      </c>
      <c r="B103" s="53" t="str">
        <f>IF(Calculation!E103=Calculation!$A$143,Calculation!I103,"")</f>
        <v/>
      </c>
      <c r="C103" s="52" t="str">
        <f>IF(Calculation!E103=Calculation!$A$143,Calculation!D103,"")</f>
        <v/>
      </c>
      <c r="D103" s="52" t="str">
        <f>IF(Calculation!E103=Calculation!$A$143,Calculation!$A$92,"")</f>
        <v/>
      </c>
      <c r="E103" s="52" t="str">
        <f>IF(Calculation!E103=Calculation!$A$143,Calculation!C103,"")</f>
        <v/>
      </c>
      <c r="F103" s="52" t="str">
        <f>IF(Calculation!E103=Calculation!$A$143,Calculation!F103,"")</f>
        <v/>
      </c>
      <c r="G103" s="54" t="str">
        <f>IF(Calculation!E103=Calculation!$A$143,Calculation!G103,"")</f>
        <v/>
      </c>
      <c r="H103" s="54" t="str">
        <f>IF(Calculation!E103=Calculation!$A$143,Calculation!H103,"")</f>
        <v/>
      </c>
      <c r="I103" s="55"/>
    </row>
    <row r="104">
      <c r="A104" s="52" t="str">
        <f>IF(Calculation!E104=Calculation!$A$143,Calculation!B104,"")</f>
        <v/>
      </c>
      <c r="B104" s="53" t="str">
        <f>IF(Calculation!E104=Calculation!$A$143,Calculation!I104,"")</f>
        <v/>
      </c>
      <c r="C104" s="52" t="str">
        <f>IF(Calculation!E104=Calculation!$A$143,Calculation!D104,"")</f>
        <v/>
      </c>
      <c r="D104" s="52" t="str">
        <f>IF(Calculation!E104=Calculation!$A$143,Calculation!$A$92,"")</f>
        <v/>
      </c>
      <c r="E104" s="52" t="str">
        <f>IF(Calculation!E104=Calculation!$A$143,Calculation!C104,"")</f>
        <v/>
      </c>
      <c r="F104" s="52" t="str">
        <f>IF(Calculation!E104=Calculation!$A$143,Calculation!F104,"")</f>
        <v/>
      </c>
      <c r="G104" s="54" t="str">
        <f>IF(Calculation!E104=Calculation!$A$143,Calculation!G104,"")</f>
        <v/>
      </c>
      <c r="H104" s="54" t="str">
        <f>IF(Calculation!E104=Calculation!$A$143,Calculation!H104,"")</f>
        <v/>
      </c>
      <c r="I104" s="55"/>
    </row>
    <row r="105">
      <c r="A105" s="52" t="str">
        <f>IF(Calculation!E105=Calculation!$A$143,Calculation!B105,"")</f>
        <v/>
      </c>
      <c r="B105" s="53" t="str">
        <f>IF(Calculation!E105=Calculation!$A$143,Calculation!I105,"")</f>
        <v/>
      </c>
      <c r="C105" s="52" t="str">
        <f>IF(Calculation!E105=Calculation!$A$143,Calculation!D105,"")</f>
        <v/>
      </c>
      <c r="D105" s="52" t="str">
        <f>IF(Calculation!E105=Calculation!$A$143,Calculation!$A$105,"")</f>
        <v/>
      </c>
      <c r="E105" s="52" t="str">
        <f>IF(Calculation!E105=Calculation!$A$143,Calculation!C105,"")</f>
        <v/>
      </c>
      <c r="F105" s="52" t="str">
        <f>IF(Calculation!E105=Calculation!$A$143,Calculation!F105,"")</f>
        <v/>
      </c>
      <c r="G105" s="54" t="str">
        <f>IF(Calculation!E105=Calculation!$A$143,Calculation!G105,"")</f>
        <v/>
      </c>
      <c r="H105" s="54" t="str">
        <f>IF(Calculation!E105=Calculation!$A$143,Calculation!H105,"")</f>
        <v/>
      </c>
      <c r="I105" s="55"/>
    </row>
    <row r="106">
      <c r="A106" s="52" t="str">
        <f>IF(Calculation!E106=Calculation!$A$143,Calculation!B106,"")</f>
        <v/>
      </c>
      <c r="B106" s="53" t="str">
        <f>IF(Calculation!E106=Calculation!$A$143,Calculation!I106,"")</f>
        <v/>
      </c>
      <c r="C106" s="52" t="str">
        <f>IF(Calculation!E106=Calculation!$A$143,Calculation!D106,"")</f>
        <v/>
      </c>
      <c r="D106" s="52" t="str">
        <f>IF(Calculation!E106=Calculation!$A$143,Calculation!$A$105,"")</f>
        <v/>
      </c>
      <c r="E106" s="52" t="str">
        <f>IF(Calculation!E106=Calculation!$A$143,Calculation!C106,"")</f>
        <v/>
      </c>
      <c r="F106" s="52" t="str">
        <f>IF(Calculation!E106=Calculation!$A$143,Calculation!F106,"")</f>
        <v/>
      </c>
      <c r="G106" s="54" t="str">
        <f>IF(Calculation!E106=Calculation!$A$143,Calculation!G106,"")</f>
        <v/>
      </c>
      <c r="H106" s="54" t="str">
        <f>IF(Calculation!E106=Calculation!$A$143,Calculation!H106,"")</f>
        <v/>
      </c>
      <c r="I106" s="55"/>
    </row>
    <row r="107">
      <c r="A107" s="52" t="str">
        <f>IF(Calculation!E107=Calculation!$A$143,Calculation!B107,"")</f>
        <v/>
      </c>
      <c r="B107" s="53" t="str">
        <f>IF(Calculation!E107=Calculation!$A$143,Calculation!I107,"")</f>
        <v/>
      </c>
      <c r="C107" s="52" t="str">
        <f>IF(Calculation!E107=Calculation!$A$143,Calculation!D107,"")</f>
        <v/>
      </c>
      <c r="D107" s="52" t="str">
        <f>IF(Calculation!E107=Calculation!$A$143,Calculation!$A$105,"")</f>
        <v/>
      </c>
      <c r="E107" s="52" t="str">
        <f>IF(Calculation!E107=Calculation!$A$143,Calculation!C107,"")</f>
        <v/>
      </c>
      <c r="F107" s="52" t="str">
        <f>IF(Calculation!E107=Calculation!$A$143,Calculation!F107,"")</f>
        <v/>
      </c>
      <c r="G107" s="54" t="str">
        <f>IF(Calculation!E107=Calculation!$A$143,Calculation!G107,"")</f>
        <v/>
      </c>
      <c r="H107" s="54" t="str">
        <f>IF(Calculation!E107=Calculation!$A$143,Calculation!H107,"")</f>
        <v/>
      </c>
      <c r="I107" s="55"/>
    </row>
    <row r="108">
      <c r="A108" s="52" t="str">
        <f>IF(Calculation!E108=Calculation!$A$143,Calculation!B108,"")</f>
        <v/>
      </c>
      <c r="B108" s="53" t="str">
        <f>IF(Calculation!E108=Calculation!$A$143,Calculation!I108,"")</f>
        <v/>
      </c>
      <c r="C108" s="52" t="str">
        <f>IF(Calculation!E108=Calculation!$A$143,Calculation!D108,"")</f>
        <v/>
      </c>
      <c r="D108" s="52" t="str">
        <f>IF(Calculation!E108=Calculation!$A$143,Calculation!$A$105,"")</f>
        <v/>
      </c>
      <c r="E108" s="52" t="str">
        <f>IF(Calculation!E108=Calculation!$A$143,Calculation!C108,"")</f>
        <v/>
      </c>
      <c r="F108" s="52" t="str">
        <f>IF(Calculation!E108=Calculation!$A$143,Calculation!F108,"")</f>
        <v/>
      </c>
      <c r="G108" s="54" t="str">
        <f>IF(Calculation!E108=Calculation!$A$143,Calculation!G108,"")</f>
        <v/>
      </c>
      <c r="H108" s="54" t="str">
        <f>IF(Calculation!E108=Calculation!$A$143,Calculation!H108,"")</f>
        <v/>
      </c>
      <c r="I108" s="55"/>
    </row>
    <row r="109">
      <c r="A109" s="52" t="str">
        <f>IF(Calculation!E109=Calculation!$A$143,Calculation!B109,"")</f>
        <v/>
      </c>
      <c r="B109" s="53" t="str">
        <f>IF(Calculation!E109=Calculation!$A$143,Calculation!I109,"")</f>
        <v/>
      </c>
      <c r="C109" s="52" t="str">
        <f>IF(Calculation!E109=Calculation!$A$143,Calculation!D109,"")</f>
        <v/>
      </c>
      <c r="D109" s="52" t="str">
        <f>IF(Calculation!E109=Calculation!$A$143,Calculation!$A$105,"")</f>
        <v/>
      </c>
      <c r="E109" s="52" t="str">
        <f>IF(Calculation!E109=Calculation!$A$143,Calculation!C109,"")</f>
        <v/>
      </c>
      <c r="F109" s="52" t="str">
        <f>IF(Calculation!E109=Calculation!$A$143,Calculation!F109,"")</f>
        <v/>
      </c>
      <c r="G109" s="54" t="str">
        <f>IF(Calculation!E109=Calculation!$A$143,Calculation!G109,"")</f>
        <v/>
      </c>
      <c r="H109" s="54" t="str">
        <f>IF(Calculation!E109=Calculation!$A$143,Calculation!H109,"")</f>
        <v/>
      </c>
      <c r="I109" s="55"/>
    </row>
    <row r="110">
      <c r="A110" s="52" t="str">
        <f>IF(Calculation!E110=Calculation!$A$143,Calculation!B110,"")</f>
        <v/>
      </c>
      <c r="B110" s="53" t="str">
        <f>IF(Calculation!E110=Calculation!$A$143,Calculation!I110,"")</f>
        <v/>
      </c>
      <c r="C110" s="52" t="str">
        <f>IF(Calculation!E110=Calculation!$A$143,Calculation!D110,"")</f>
        <v/>
      </c>
      <c r="D110" s="52" t="str">
        <f>IF(Calculation!E110=Calculation!$A$143,Calculation!$A$105,"")</f>
        <v/>
      </c>
      <c r="E110" s="52" t="str">
        <f>IF(Calculation!E110=Calculation!$A$143,Calculation!C110,"")</f>
        <v/>
      </c>
      <c r="F110" s="52" t="str">
        <f>IF(Calculation!E110=Calculation!$A$143,Calculation!F110,"")</f>
        <v/>
      </c>
      <c r="G110" s="54" t="str">
        <f>IF(Calculation!E110=Calculation!$A$143,Calculation!G110,"")</f>
        <v/>
      </c>
      <c r="H110" s="54" t="str">
        <f>IF(Calculation!E110=Calculation!$A$143,Calculation!H110,"")</f>
        <v/>
      </c>
      <c r="I110" s="55"/>
    </row>
    <row r="111">
      <c r="A111" s="52" t="str">
        <f>IF(Calculation!E111=Calculation!$A$143,Calculation!B111,"")</f>
        <v/>
      </c>
      <c r="B111" s="53" t="str">
        <f>IF(Calculation!E111=Calculation!$A$143,Calculation!I111,"")</f>
        <v/>
      </c>
      <c r="C111" s="52" t="str">
        <f>IF(Calculation!E111=Calculation!$A$143,Calculation!D111,"")</f>
        <v/>
      </c>
      <c r="D111" s="52" t="str">
        <f>IF(Calculation!E111=Calculation!$A$143,Calculation!$A$105,"")</f>
        <v/>
      </c>
      <c r="E111" s="52" t="str">
        <f>IF(Calculation!E111=Calculation!$A$143,Calculation!C111,"")</f>
        <v/>
      </c>
      <c r="F111" s="52" t="str">
        <f>IF(Calculation!E111=Calculation!$A$143,Calculation!F111,"")</f>
        <v/>
      </c>
      <c r="G111" s="54" t="str">
        <f>IF(Calculation!E111=Calculation!$A$143,Calculation!G111,"")</f>
        <v/>
      </c>
      <c r="H111" s="54" t="str">
        <f>IF(Calculation!E111=Calculation!$A$143,Calculation!H111,"")</f>
        <v/>
      </c>
      <c r="I111" s="55"/>
    </row>
    <row r="112">
      <c r="A112" s="52" t="str">
        <f>IF(Calculation!E112=Calculation!$A$143,Calculation!B112,"")</f>
        <v/>
      </c>
      <c r="B112" s="53" t="str">
        <f>IF(Calculation!E112=Calculation!$A$143,Calculation!I112,"")</f>
        <v/>
      </c>
      <c r="C112" s="52" t="str">
        <f>IF(Calculation!E112=Calculation!$A$143,Calculation!D112,"")</f>
        <v/>
      </c>
      <c r="D112" s="52" t="str">
        <f>IF(Calculation!E112=Calculation!$A$143,Calculation!$A$105,"")</f>
        <v/>
      </c>
      <c r="E112" s="52" t="str">
        <f>IF(Calculation!E112=Calculation!$A$143,Calculation!C112,"")</f>
        <v/>
      </c>
      <c r="F112" s="52" t="str">
        <f>IF(Calculation!E112=Calculation!$A$143,Calculation!F112,"")</f>
        <v/>
      </c>
      <c r="G112" s="54" t="str">
        <f>IF(Calculation!E112=Calculation!$A$143,Calculation!G112,"")</f>
        <v/>
      </c>
      <c r="H112" s="54" t="str">
        <f>IF(Calculation!E112=Calculation!$A$143,Calculation!H112,"")</f>
        <v/>
      </c>
      <c r="I112" s="55"/>
    </row>
    <row r="113">
      <c r="A113" s="52" t="str">
        <f>IF(Calculation!E113=Calculation!$A$143,Calculation!B113,"")</f>
        <v/>
      </c>
      <c r="B113" s="53" t="str">
        <f>IF(Calculation!E113=Calculation!$A$143,Calculation!I113,"")</f>
        <v/>
      </c>
      <c r="C113" s="52" t="str">
        <f>IF(Calculation!E113=Calculation!$A$143,Calculation!D113,"")</f>
        <v/>
      </c>
      <c r="D113" s="52" t="str">
        <f>IF(Calculation!E113=Calculation!$A$143,Calculation!$A$105,"")</f>
        <v/>
      </c>
      <c r="E113" s="52" t="str">
        <f>IF(Calculation!E113=Calculation!$A$143,Calculation!C113,"")</f>
        <v/>
      </c>
      <c r="F113" s="52" t="str">
        <f>IF(Calculation!E113=Calculation!$A$143,Calculation!F113,"")</f>
        <v/>
      </c>
      <c r="G113" s="54" t="str">
        <f>IF(Calculation!E113=Calculation!$A$143,Calculation!G113,"")</f>
        <v/>
      </c>
      <c r="H113" s="54" t="str">
        <f>IF(Calculation!E113=Calculation!$A$143,Calculation!H113,"")</f>
        <v/>
      </c>
      <c r="I113" s="55"/>
    </row>
    <row r="114">
      <c r="A114" s="52" t="str">
        <f>IF(Calculation!E114=Calculation!$A$143,Calculation!B114,"")</f>
        <v/>
      </c>
      <c r="B114" s="53" t="str">
        <f>IF(Calculation!E114=Calculation!$A$143,Calculation!I114,"")</f>
        <v/>
      </c>
      <c r="C114" s="52" t="str">
        <f>IF(Calculation!E114=Calculation!$A$143,Calculation!D114,"")</f>
        <v/>
      </c>
      <c r="D114" s="52" t="str">
        <f>IF(Calculation!E114=Calculation!$A$143,Calculation!$A$105,"")</f>
        <v/>
      </c>
      <c r="E114" s="52" t="str">
        <f>IF(Calculation!E114=Calculation!$A$143,Calculation!C114,"")</f>
        <v/>
      </c>
      <c r="F114" s="52" t="str">
        <f>IF(Calculation!E114=Calculation!$A$143,Calculation!F114,"")</f>
        <v/>
      </c>
      <c r="G114" s="54" t="str">
        <f>IF(Calculation!E114=Calculation!$A$143,Calculation!G114,"")</f>
        <v/>
      </c>
      <c r="H114" s="54" t="str">
        <f>IF(Calculation!E114=Calculation!$A$143,Calculation!H114,"")</f>
        <v/>
      </c>
      <c r="I114" s="55"/>
    </row>
    <row r="115">
      <c r="A115" s="52" t="str">
        <f>IF(Calculation!E115=Calculation!$A$143,Calculation!B115,"")</f>
        <v/>
      </c>
      <c r="B115" s="53" t="str">
        <f>IF(Calculation!E115=Calculation!$A$143,Calculation!I115,"")</f>
        <v/>
      </c>
      <c r="C115" s="52" t="str">
        <f>IF(Calculation!E115=Calculation!$A$143,Calculation!D115,"")</f>
        <v/>
      </c>
      <c r="D115" s="52" t="str">
        <f>IF(Calculation!E115=Calculation!$A$143,Calculation!$A$105,"")</f>
        <v/>
      </c>
      <c r="E115" s="52" t="str">
        <f>IF(Calculation!E115=Calculation!$A$143,Calculation!C115,"")</f>
        <v/>
      </c>
      <c r="F115" s="52" t="str">
        <f>IF(Calculation!E115=Calculation!$A$143,Calculation!F115,"")</f>
        <v/>
      </c>
      <c r="G115" s="54" t="str">
        <f>IF(Calculation!E115=Calculation!$A$143,Calculation!G115,"")</f>
        <v/>
      </c>
      <c r="H115" s="54" t="str">
        <f>IF(Calculation!E115=Calculation!$A$143,Calculation!H115,"")</f>
        <v/>
      </c>
      <c r="I115" s="55"/>
    </row>
    <row r="116">
      <c r="A116" s="52" t="str">
        <f>IF(Calculation!E116=Calculation!$A$143,Calculation!B116,"")</f>
        <v/>
      </c>
      <c r="B116" s="53" t="str">
        <f>IF(Calculation!E116=Calculation!$A$143,Calculation!I116,"")</f>
        <v/>
      </c>
      <c r="C116" s="52" t="str">
        <f>IF(Calculation!E116=Calculation!$A$143,Calculation!D116,"")</f>
        <v/>
      </c>
      <c r="D116" s="52" t="str">
        <f>IF(Calculation!E116=Calculation!$A$143,Calculation!$A$105,"")</f>
        <v/>
      </c>
      <c r="E116" s="52" t="str">
        <f>IF(Calculation!E116=Calculation!$A$143,Calculation!C116,"")</f>
        <v/>
      </c>
      <c r="F116" s="52" t="str">
        <f>IF(Calculation!E116=Calculation!$A$143,Calculation!F116,"")</f>
        <v/>
      </c>
      <c r="G116" s="54" t="str">
        <f>IF(Calculation!E116=Calculation!$A$143,Calculation!G116,"")</f>
        <v/>
      </c>
      <c r="H116" s="54" t="str">
        <f>IF(Calculation!E116=Calculation!$A$143,Calculation!H116,"")</f>
        <v/>
      </c>
      <c r="I116" s="55"/>
    </row>
    <row r="117">
      <c r="A117" s="52" t="str">
        <f>IF(Calculation!E117=Calculation!$A$143,Calculation!B117,"")</f>
        <v/>
      </c>
      <c r="B117" s="53" t="str">
        <f>IF(Calculation!E117=Calculation!$A$143,Calculation!I117,"")</f>
        <v/>
      </c>
      <c r="C117" s="52" t="str">
        <f>IF(Calculation!E117=Calculation!$A$143,Calculation!D117,"")</f>
        <v/>
      </c>
      <c r="D117" s="52" t="str">
        <f>IF(Calculation!E117=Calculation!$A$143,Calculation!$A$105,"")</f>
        <v/>
      </c>
      <c r="E117" s="52" t="str">
        <f>IF(Calculation!E117=Calculation!$A$143,Calculation!C117,"")</f>
        <v/>
      </c>
      <c r="F117" s="52" t="str">
        <f>IF(Calculation!E117=Calculation!$A$143,Calculation!F117,"")</f>
        <v/>
      </c>
      <c r="G117" s="54" t="str">
        <f>IF(Calculation!E117=Calculation!$A$143,Calculation!G117,"")</f>
        <v/>
      </c>
      <c r="H117" s="54" t="str">
        <f>IF(Calculation!E117=Calculation!$A$143,Calculation!H117,"")</f>
        <v/>
      </c>
      <c r="I117" s="55"/>
    </row>
    <row r="118">
      <c r="A118" s="57" t="str">
        <f>IF(Calculation!E118=Calculation!$A$143,Calculation!B118,"")</f>
        <v/>
      </c>
      <c r="B118" s="53" t="str">
        <f>IF(Calculation!E118=Calculation!$A$143,Calculation!I118,"")</f>
        <v/>
      </c>
      <c r="C118" s="52" t="str">
        <f>IF(Calculation!E118=Calculation!$A$143,Calculation!D118,"")</f>
        <v>NIL</v>
      </c>
      <c r="D118" s="52" t="str">
        <f>IF(Calculation!E118=Calculation!$A$143,Calculation!$A$117,"")</f>
        <v>Prince Tyres</v>
      </c>
      <c r="E118" s="52" t="str">
        <f>IF(Calculation!E118=Calculation!$A$143,Calculation!C118,"")</f>
        <v>Poster Design</v>
      </c>
      <c r="F118" s="52">
        <f>IF(Calculation!E118=Calculation!$A$143,Calculation!F118,"")</f>
        <v>1</v>
      </c>
      <c r="G118" s="54">
        <f>IF(Calculation!E118=Calculation!$A$143,Calculation!G118,"")</f>
        <v>0</v>
      </c>
      <c r="H118" s="54">
        <f>IF(Calculation!E118=Calculation!$A$143,Calculation!H118,"")</f>
        <v>0</v>
      </c>
      <c r="I118" s="55"/>
    </row>
    <row r="119">
      <c r="A119" s="52" t="str">
        <f>IF(Calculation!E119=Calculation!$A$143,Calculation!B119,"")</f>
        <v/>
      </c>
      <c r="B119" s="53" t="str">
        <f>IF(Calculation!E119=Calculation!$A$143,Calculation!I119,"")</f>
        <v/>
      </c>
      <c r="C119" s="52" t="str">
        <f>IF(Calculation!E119=Calculation!$A$143,Calculation!D119,"")</f>
        <v/>
      </c>
      <c r="D119" s="52" t="str">
        <f>IF(Calculation!E119=Calculation!$A$143,Calculation!$A$117,"")</f>
        <v/>
      </c>
      <c r="E119" s="52" t="str">
        <f>IF(Calculation!E119=Calculation!$A$143,Calculation!C119,"")</f>
        <v/>
      </c>
      <c r="F119" s="52" t="str">
        <f>IF(Calculation!E119=Calculation!$A$143,Calculation!F119,"")</f>
        <v/>
      </c>
      <c r="G119" s="54" t="str">
        <f>IF(Calculation!E119=Calculation!$A$143,Calculation!G119,"")</f>
        <v/>
      </c>
      <c r="H119" s="54" t="str">
        <f>IF(Calculation!E119=Calculation!$A$143,Calculation!H119,"")</f>
        <v/>
      </c>
      <c r="I119" s="55"/>
    </row>
    <row r="120">
      <c r="A120" s="52" t="str">
        <f>IF(Calculation!E120=Calculation!$A$143,Calculation!B120,"")</f>
        <v/>
      </c>
      <c r="B120" s="53" t="str">
        <f>IF(Calculation!E120=Calculation!$A$143,Calculation!I120,"")</f>
        <v/>
      </c>
      <c r="C120" s="52" t="str">
        <f>IF(Calculation!E120=Calculation!$A$143,Calculation!D120,"")</f>
        <v/>
      </c>
      <c r="D120" s="52" t="str">
        <f>IF(Calculation!E120=Calculation!$A$143,Calculation!$A$117,"")</f>
        <v/>
      </c>
      <c r="E120" s="52" t="str">
        <f>IF(Calculation!E120=Calculation!$A$143,Calculation!C120,"")</f>
        <v/>
      </c>
      <c r="F120" s="52" t="str">
        <f>IF(Calculation!E120=Calculation!$A$143,Calculation!F120,"")</f>
        <v/>
      </c>
      <c r="G120" s="54" t="str">
        <f>IF(Calculation!E120=Calculation!$A$143,Calculation!G120,"")</f>
        <v/>
      </c>
      <c r="H120" s="54" t="str">
        <f>IF(Calculation!E120=Calculation!$A$143,Calculation!H120,"")</f>
        <v/>
      </c>
      <c r="I120" s="55"/>
    </row>
    <row r="121">
      <c r="A121" s="52" t="str">
        <f>IF(Calculation!E121=Calculation!$A$143,Calculation!B121,"")</f>
        <v/>
      </c>
      <c r="B121" s="53" t="str">
        <f>IF(Calculation!E121=Calculation!$A$143,Calculation!I121,"")</f>
        <v/>
      </c>
      <c r="C121" s="52" t="str">
        <f>IF(Calculation!E121=Calculation!$A$143,Calculation!D121,"")</f>
        <v/>
      </c>
      <c r="D121" s="52" t="str">
        <f>IF(Calculation!E121=Calculation!$A$143,Calculation!$A$117,"")</f>
        <v/>
      </c>
      <c r="E121" s="52" t="str">
        <f>IF(Calculation!E121=Calculation!$A$143,Calculation!C121,"")</f>
        <v/>
      </c>
      <c r="F121" s="52" t="str">
        <f>IF(Calculation!E121=Calculation!$A$143,Calculation!F121,"")</f>
        <v/>
      </c>
      <c r="G121" s="54" t="str">
        <f>IF(Calculation!E121=Calculation!$A$143,Calculation!G121,"")</f>
        <v/>
      </c>
      <c r="H121" s="54" t="str">
        <f>IF(Calculation!E121=Calculation!$A$143,Calculation!H121,"")</f>
        <v/>
      </c>
      <c r="I121" s="55"/>
    </row>
    <row r="122">
      <c r="A122" s="52" t="str">
        <f>IF(Calculation!E122=Calculation!$A$143,Calculation!B122,"")</f>
        <v/>
      </c>
      <c r="B122" s="53" t="str">
        <f>IF(Calculation!E122=Calculation!$A$143,Calculation!I122,"")</f>
        <v/>
      </c>
      <c r="C122" s="52" t="str">
        <f>IF(Calculation!E122=Calculation!$A$143,Calculation!D122,"")</f>
        <v/>
      </c>
      <c r="D122" s="52" t="str">
        <f>IF(Calculation!E122=Calculation!$A$143,Calculation!$A$117,"")</f>
        <v/>
      </c>
      <c r="E122" s="52" t="str">
        <f>IF(Calculation!E122=Calculation!$A$143,Calculation!C122,"")</f>
        <v/>
      </c>
      <c r="F122" s="52" t="str">
        <f>IF(Calculation!E122=Calculation!$A$143,Calculation!F122,"")</f>
        <v/>
      </c>
      <c r="G122" s="54" t="str">
        <f>IF(Calculation!E122=Calculation!$A$143,Calculation!G122,"")</f>
        <v/>
      </c>
      <c r="H122" s="54" t="str">
        <f>IF(Calculation!E122=Calculation!$A$143,Calculation!H122,"")</f>
        <v/>
      </c>
      <c r="I122" s="55"/>
    </row>
    <row r="123">
      <c r="A123" s="52" t="str">
        <f>IF(Calculation!E123=Calculation!$A$143,Calculation!B123,"")</f>
        <v/>
      </c>
      <c r="B123" s="53" t="str">
        <f>IF(Calculation!E123=Calculation!$A$143,Calculation!I123,"")</f>
        <v/>
      </c>
      <c r="C123" s="52" t="str">
        <f>IF(Calculation!E123=Calculation!$A$143,Calculation!D123,"")</f>
        <v/>
      </c>
      <c r="D123" s="52" t="str">
        <f>IF(Calculation!E123=Calculation!$A$143,Calculation!$A$117,"")</f>
        <v/>
      </c>
      <c r="E123" s="52" t="str">
        <f>IF(Calculation!E123=Calculation!$A$143,Calculation!C123,"")</f>
        <v/>
      </c>
      <c r="F123" s="52" t="str">
        <f>IF(Calculation!E123=Calculation!$A$143,Calculation!F123,"")</f>
        <v/>
      </c>
      <c r="G123" s="54" t="str">
        <f>IF(Calculation!E123=Calculation!$A$143,Calculation!G123,"")</f>
        <v/>
      </c>
      <c r="H123" s="54" t="str">
        <f>IF(Calculation!E123=Calculation!$A$143,Calculation!H123,"")</f>
        <v/>
      </c>
      <c r="I123" s="55"/>
    </row>
    <row r="124">
      <c r="A124" s="52" t="str">
        <f>IF(Calculation!E124=Calculation!$A$143,Calculation!B124,"")</f>
        <v/>
      </c>
      <c r="B124" s="53" t="str">
        <f>IF(Calculation!E124=Calculation!$A$143,Calculation!I124,"")</f>
        <v/>
      </c>
      <c r="C124" s="52" t="str">
        <f>IF(Calculation!E124=Calculation!$A$143,Calculation!D124,"")</f>
        <v/>
      </c>
      <c r="D124" s="52" t="str">
        <f>IF(Calculation!E124=Calculation!$A$143,Calculation!$A$117,"")</f>
        <v/>
      </c>
      <c r="E124" s="52" t="str">
        <f>IF(Calculation!E124=Calculation!$A$143,Calculation!C124,"")</f>
        <v/>
      </c>
      <c r="F124" s="52" t="str">
        <f>IF(Calculation!E124=Calculation!$A$143,Calculation!F124,"")</f>
        <v/>
      </c>
      <c r="G124" s="54" t="str">
        <f>IF(Calculation!E124=Calculation!$A$143,Calculation!G124,"")</f>
        <v/>
      </c>
      <c r="H124" s="54" t="str">
        <f>IF(Calculation!E124=Calculation!$A$143,Calculation!H124,"")</f>
        <v/>
      </c>
      <c r="I124" s="55"/>
    </row>
    <row r="125">
      <c r="A125" s="52" t="str">
        <f>IF(Calculation!E125=Calculation!$A$143,Calculation!B125,"")</f>
        <v/>
      </c>
      <c r="B125" s="53" t="str">
        <f>IF(Calculation!E125=Calculation!$A$143,Calculation!I125,"")</f>
        <v/>
      </c>
      <c r="C125" s="52" t="str">
        <f>IF(Calculation!E125=Calculation!$A$143,Calculation!D125,"")</f>
        <v/>
      </c>
      <c r="D125" s="52" t="str">
        <f>IF(Calculation!E125=Calculation!$A$143,Calculation!$A$117,"")</f>
        <v/>
      </c>
      <c r="E125" s="52" t="str">
        <f>IF(Calculation!E125=Calculation!$A$143,Calculation!C125,"")</f>
        <v/>
      </c>
      <c r="F125" s="52" t="str">
        <f>IF(Calculation!E125=Calculation!$A$143,Calculation!F125,"")</f>
        <v/>
      </c>
      <c r="G125" s="54" t="str">
        <f>IF(Calculation!E125=Calculation!$A$143,Calculation!G125,"")</f>
        <v/>
      </c>
      <c r="H125" s="54" t="str">
        <f>IF(Calculation!E125=Calculation!$A$143,Calculation!H125,"")</f>
        <v/>
      </c>
      <c r="I125" s="55"/>
    </row>
  </sheetData>
  <mergeCells count="37">
    <mergeCell ref="A1:I1"/>
    <mergeCell ref="M3:P3"/>
    <mergeCell ref="M4:P4"/>
    <mergeCell ref="M5:P5"/>
    <mergeCell ref="M6:O6"/>
    <mergeCell ref="M8:Q8"/>
    <mergeCell ref="P9:Q9"/>
    <mergeCell ref="M9:O9"/>
    <mergeCell ref="M10:O10"/>
    <mergeCell ref="P10:Q10"/>
    <mergeCell ref="R10:S10"/>
    <mergeCell ref="M11:O11"/>
    <mergeCell ref="P11:Q11"/>
    <mergeCell ref="R11:S11"/>
    <mergeCell ref="P14:Q14"/>
    <mergeCell ref="R14:S14"/>
    <mergeCell ref="M12:O12"/>
    <mergeCell ref="P12:Q12"/>
    <mergeCell ref="R12:S12"/>
    <mergeCell ref="M13:O13"/>
    <mergeCell ref="P13:Q13"/>
    <mergeCell ref="R13:S13"/>
    <mergeCell ref="M14:O14"/>
    <mergeCell ref="M19:P19"/>
    <mergeCell ref="M20:P20"/>
    <mergeCell ref="M21:P21"/>
    <mergeCell ref="M22:P22"/>
    <mergeCell ref="O24:Q24"/>
    <mergeCell ref="O25:Q25"/>
    <mergeCell ref="R26:S26"/>
    <mergeCell ref="M15:O15"/>
    <mergeCell ref="P15:Q15"/>
    <mergeCell ref="R15:S15"/>
    <mergeCell ref="M16:O16"/>
    <mergeCell ref="P16:Q16"/>
    <mergeCell ref="R16:S16"/>
    <mergeCell ref="M18:P18"/>
  </mergeCells>
  <dataValidations>
    <dataValidation type="custom" allowBlank="1" showDropDown="1" sqref="P9 R15">
      <formula1>OR(NOT(ISERROR(DATEVALUE(P9))), AND(ISNUMBER(P9), LEFT(CELL("format", P9))="D"))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9.13"/>
    <col customWidth="1" min="3" max="3" width="18.63"/>
    <col customWidth="1" min="4" max="4" width="20.5"/>
    <col customWidth="1" min="5" max="5" width="17.63"/>
    <col customWidth="1" min="6" max="6" width="18.75"/>
    <col customWidth="1" min="7" max="7" width="19.25"/>
    <col customWidth="1" min="8" max="9" width="17.38"/>
    <col customWidth="1" min="10" max="10" width="15.13"/>
    <col customWidth="1" min="13" max="13" width="15.0"/>
  </cols>
  <sheetData>
    <row r="1" ht="42.0" customHeight="1">
      <c r="A1" s="49" t="s">
        <v>79</v>
      </c>
      <c r="J1" s="50"/>
      <c r="M1" s="59"/>
      <c r="N1" s="59"/>
      <c r="O1" s="59"/>
      <c r="P1" s="60"/>
      <c r="Q1" s="59"/>
      <c r="R1" s="59"/>
      <c r="S1" s="59"/>
      <c r="T1" s="59"/>
      <c r="U1" s="61"/>
    </row>
    <row r="2" ht="29.25" customHeight="1">
      <c r="A2" s="51" t="s">
        <v>45</v>
      </c>
      <c r="B2" s="51" t="s">
        <v>46</v>
      </c>
      <c r="C2" s="51" t="s">
        <v>47</v>
      </c>
      <c r="D2" s="51" t="s">
        <v>41</v>
      </c>
      <c r="E2" s="51" t="s">
        <v>48</v>
      </c>
      <c r="F2" s="51" t="s">
        <v>49</v>
      </c>
      <c r="G2" s="51" t="s">
        <v>50</v>
      </c>
      <c r="H2" s="51" t="s">
        <v>51</v>
      </c>
      <c r="I2" s="51" t="s">
        <v>52</v>
      </c>
      <c r="M2" s="62"/>
      <c r="N2" s="62"/>
      <c r="O2" s="62"/>
      <c r="P2" s="63"/>
      <c r="Q2" s="62"/>
      <c r="R2" s="62"/>
      <c r="S2" s="62"/>
      <c r="T2" s="62"/>
      <c r="U2" s="64"/>
    </row>
    <row r="3" ht="18.75" customHeight="1">
      <c r="A3" s="52" t="str">
        <f>IF(Calculation!E3=Calculation!$A$144,Calculation!B3,"")</f>
        <v/>
      </c>
      <c r="B3" s="53" t="str">
        <f>IF(Calculation!E3=Calculation!$A$144,Calculation!I3,"")</f>
        <v/>
      </c>
      <c r="C3" s="52" t="str">
        <f>IF(Calculation!E3=Calculation!$A$144,Calculation!D3,"")</f>
        <v/>
      </c>
      <c r="D3" s="52" t="str">
        <f>IF(Calculation!E3=Calculation!$A$144,Calculation!$A$3,"")</f>
        <v/>
      </c>
      <c r="E3" s="52" t="str">
        <f>IF(Calculation!E3=Calculation!$A$144,Calculation!C3,"")</f>
        <v/>
      </c>
      <c r="F3" s="52" t="str">
        <f>IF(Calculation!E3=Calculation!$A$144,Calculation!F3,"")</f>
        <v/>
      </c>
      <c r="G3" s="54" t="str">
        <f>IF(Calculation!E3=Calculation!$A$144,Calculation!G3,"")</f>
        <v/>
      </c>
      <c r="H3" s="54" t="str">
        <f>IF(Calculation!E3=Calculation!$A$144,Calculation!H3,"")</f>
        <v/>
      </c>
      <c r="I3" s="110">
        <f>SUMIF(Calculation!E3:E125,Calculation!A144,Calculation!H3:H125)</f>
        <v>2400</v>
      </c>
      <c r="M3" s="65" t="s">
        <v>53</v>
      </c>
      <c r="Q3" s="62"/>
      <c r="R3" s="62"/>
      <c r="S3" s="62"/>
      <c r="T3" s="62"/>
      <c r="U3" s="64"/>
    </row>
    <row r="4" ht="20.25" customHeight="1">
      <c r="A4" s="52" t="str">
        <f>IF(Calculation!E4=Calculation!$A$144,Calculation!B4,"")</f>
        <v/>
      </c>
      <c r="B4" s="53" t="str">
        <f>IF(Calculation!E4=Calculation!$A$144,Calculation!I4,"")</f>
        <v/>
      </c>
      <c r="C4" s="52" t="str">
        <f>IF(Calculation!E4=Calculation!$A$144,Calculation!D4,"")</f>
        <v/>
      </c>
      <c r="D4" s="52" t="str">
        <f>IF(Calculation!E4=Calculation!$A$144,Calculation!$A$3,"")</f>
        <v/>
      </c>
      <c r="E4" s="52" t="str">
        <f>IF(Calculation!E4=Calculation!$A$144,Calculation!C4,"")</f>
        <v/>
      </c>
      <c r="F4" s="52" t="str">
        <f>IF(Calculation!E4=Calculation!$A$144,Calculation!F4,"")</f>
        <v/>
      </c>
      <c r="G4" s="54" t="str">
        <f>IF(Calculation!E4=Calculation!$A$144,Calculation!G4,"")</f>
        <v/>
      </c>
      <c r="H4" s="54" t="str">
        <f>IF(Calculation!E4=Calculation!$A$144,Calculation!H4,"")</f>
        <v/>
      </c>
      <c r="I4" s="55"/>
      <c r="M4" s="106" t="s">
        <v>75</v>
      </c>
      <c r="Q4" s="62"/>
      <c r="R4" s="62"/>
      <c r="S4" s="62"/>
      <c r="T4" s="62"/>
      <c r="U4" s="64"/>
    </row>
    <row r="5">
      <c r="A5" s="52" t="str">
        <f>IF(Calculation!E5=Calculation!$A$144,Calculation!B5,"")</f>
        <v/>
      </c>
      <c r="B5" s="53" t="str">
        <f>IF(Calculation!E5=Calculation!$A$144,Calculation!I5,"")</f>
        <v/>
      </c>
      <c r="C5" s="52" t="str">
        <f>IF(Calculation!E5=Calculation!$A$144,Calculation!D5,"")</f>
        <v/>
      </c>
      <c r="D5" s="52" t="str">
        <f>IF(Calculation!E5=Calculation!$A$144,Calculation!$A$3,"")</f>
        <v/>
      </c>
      <c r="E5" s="52" t="str">
        <f>IF(Calculation!E5=Calculation!$A$144,Calculation!C5,"")</f>
        <v/>
      </c>
      <c r="F5" s="52" t="str">
        <f>IF(Calculation!E5=Calculation!$A$144,Calculation!F5,"")</f>
        <v/>
      </c>
      <c r="G5" s="54" t="str">
        <f>IF(Calculation!E5=Calculation!$A$144,Calculation!G5,"")</f>
        <v/>
      </c>
      <c r="H5" s="54" t="str">
        <f>IF(Calculation!E5=Calculation!$A$144,Calculation!H5,"")</f>
        <v/>
      </c>
      <c r="I5" s="55"/>
      <c r="M5" s="107" t="s">
        <v>76</v>
      </c>
      <c r="Q5" s="62"/>
      <c r="R5" s="62"/>
      <c r="S5" s="62"/>
      <c r="T5" s="62"/>
      <c r="U5" s="64"/>
    </row>
    <row r="6">
      <c r="A6" s="52" t="str">
        <f>IF(Calculation!E6=Calculation!$A$144,Calculation!B6,"")</f>
        <v/>
      </c>
      <c r="B6" s="53" t="str">
        <f>IF(Calculation!E6=Calculation!$A$144,Calculation!I6,"")</f>
        <v/>
      </c>
      <c r="C6" s="52" t="str">
        <f>IF(Calculation!E6=Calculation!$A$144,Calculation!D6,"")</f>
        <v/>
      </c>
      <c r="D6" s="52" t="str">
        <f>IF(Calculation!E6=Calculation!$A$144,Calculation!$A$3,"")</f>
        <v/>
      </c>
      <c r="E6" s="52" t="str">
        <f>IF(Calculation!E6=Calculation!$A$144,Calculation!C6,"")</f>
        <v/>
      </c>
      <c r="F6" s="52" t="str">
        <f>IF(Calculation!E6=Calculation!$A$144,Calculation!F6,"")</f>
        <v/>
      </c>
      <c r="G6" s="54" t="str">
        <f>IF(Calculation!E6=Calculation!$A$144,Calculation!G6,"")</f>
        <v/>
      </c>
      <c r="H6" s="54" t="str">
        <f>IF(Calculation!E6=Calculation!$A$144,Calculation!H6,"")</f>
        <v/>
      </c>
      <c r="I6" s="55"/>
      <c r="M6" s="78" t="s">
        <v>77</v>
      </c>
      <c r="P6" s="72"/>
      <c r="Q6" s="69"/>
      <c r="R6" s="69"/>
      <c r="S6" s="69"/>
      <c r="T6" s="69"/>
      <c r="U6" s="70"/>
    </row>
    <row r="7">
      <c r="A7" s="57">
        <f>IF(Calculation!E7=Calculation!$A$144,Calculation!B7,"")</f>
        <v>45458</v>
      </c>
      <c r="B7" s="53">
        <f>IF(Calculation!E7=Calculation!$A$144,Calculation!I7,"")</f>
        <v>45473</v>
      </c>
      <c r="C7" s="52" t="str">
        <f>IF(Calculation!E7=Calculation!$A$144,Calculation!D7,"")</f>
        <v>Vishnu Kalpamangalam</v>
      </c>
      <c r="D7" s="52" t="str">
        <f>IF(Calculation!E7=Calculation!$A$144,Calculation!$A$3,"")</f>
        <v>Sony Tyres</v>
      </c>
      <c r="E7" s="52" t="str">
        <f>IF(Calculation!E7=Calculation!$A$144,Calculation!C7,"")</f>
        <v>Short video design</v>
      </c>
      <c r="F7" s="52">
        <f>IF(Calculation!E7=Calculation!$A$144,Calculation!F7,"")</f>
        <v>10</v>
      </c>
      <c r="G7" s="54">
        <f>IF(Calculation!E7=Calculation!$A$144,Calculation!G7,"")</f>
        <v>200</v>
      </c>
      <c r="H7" s="54">
        <f>IF(Calculation!E7=Calculation!$A$144,Calculation!H7,"")</f>
        <v>2000</v>
      </c>
      <c r="I7" s="55"/>
      <c r="M7" s="62"/>
      <c r="N7" s="62"/>
      <c r="O7" s="62"/>
      <c r="P7" s="62"/>
      <c r="Q7" s="62"/>
      <c r="R7" s="62"/>
      <c r="S7" s="62"/>
      <c r="T7" s="62"/>
      <c r="U7" s="64"/>
    </row>
    <row r="8">
      <c r="A8" s="52" t="str">
        <f>IF(Calculation!E8=Calculation!$A$144,Calculation!B8,"")</f>
        <v/>
      </c>
      <c r="B8" s="53" t="str">
        <f>IF(Calculation!E8=Calculation!$A$144,Calculation!I8,"")</f>
        <v/>
      </c>
      <c r="C8" s="52" t="str">
        <f>IF(Calculation!E8=Calculation!$A$144,Calculation!D8,"")</f>
        <v/>
      </c>
      <c r="D8" s="52" t="str">
        <f>IF(Calculation!E8=Calculation!$A$144,Calculation!$A$3,"")</f>
        <v/>
      </c>
      <c r="E8" s="52" t="str">
        <f>IF(Calculation!E8=Calculation!$A$144,Calculation!C8,"")</f>
        <v/>
      </c>
      <c r="F8" s="52" t="str">
        <f>IF(Calculation!E8=Calculation!$A$144,Calculation!F8,"")</f>
        <v/>
      </c>
      <c r="G8" s="54" t="str">
        <f>IF(Calculation!E8=Calculation!$A$144,Calculation!G8,"")</f>
        <v/>
      </c>
      <c r="H8" s="54" t="str">
        <f>IF(Calculation!E8=Calculation!$A$144,Calculation!H8,"")</f>
        <v/>
      </c>
      <c r="I8" s="55"/>
      <c r="M8" s="108" t="s">
        <v>78</v>
      </c>
      <c r="R8" s="62"/>
      <c r="S8" s="62"/>
      <c r="T8" s="69"/>
      <c r="U8" s="70"/>
    </row>
    <row r="9">
      <c r="A9" s="57">
        <f>IF(Calculation!E9=Calculation!$A$144,Calculation!B9,"")</f>
        <v>45471</v>
      </c>
      <c r="B9" s="53">
        <f>IF(Calculation!E9=Calculation!$A$144,Calculation!I9,"")</f>
        <v>45447</v>
      </c>
      <c r="C9" s="52" t="str">
        <f>IF(Calculation!E9=Calculation!$A$144,Calculation!D9,"")</f>
        <v>Vishnu Kalpamangalam</v>
      </c>
      <c r="D9" s="52" t="str">
        <f>IF(Calculation!E9=Calculation!$A$144,Calculation!$A$3,"")</f>
        <v>Sony Tyres</v>
      </c>
      <c r="E9" s="52" t="str">
        <f>IF(Calculation!E9=Calculation!$A$144,Calculation!C9,"")</f>
        <v>Short video design</v>
      </c>
      <c r="F9" s="52">
        <f>IF(Calculation!E9=Calculation!$A$144,Calculation!F9,"")</f>
        <v>2</v>
      </c>
      <c r="G9" s="54">
        <f>IF(Calculation!E9=Calculation!$A$144,Calculation!G9,"")</f>
        <v>200</v>
      </c>
      <c r="H9" s="54">
        <f>IF(Calculation!E9=Calculation!$A$144,Calculation!H9,"")</f>
        <v>400</v>
      </c>
      <c r="I9" s="55"/>
      <c r="M9" s="74" t="s">
        <v>58</v>
      </c>
      <c r="P9" s="75">
        <v>45462.0</v>
      </c>
      <c r="R9" s="62"/>
      <c r="S9" s="62"/>
      <c r="T9" s="69"/>
      <c r="U9" s="70"/>
    </row>
    <row r="10">
      <c r="A10" s="52" t="str">
        <f>IF(Calculation!E10=Calculation!$A$144,Calculation!B10,"")</f>
        <v/>
      </c>
      <c r="B10" s="53" t="str">
        <f>IF(Calculation!E10=Calculation!$A$144,Calculation!I10,"")</f>
        <v/>
      </c>
      <c r="C10" s="52" t="str">
        <f>IF(Calculation!E10=Calculation!$A$144,Calculation!D10,"")</f>
        <v/>
      </c>
      <c r="D10" s="52" t="str">
        <f>IF(Calculation!E10=Calculation!$A$144,Calculation!$A$3,"")</f>
        <v/>
      </c>
      <c r="E10" s="52" t="str">
        <f>IF(Calculation!E10=Calculation!$A$144,Calculation!C10,"")</f>
        <v/>
      </c>
      <c r="F10" s="52" t="str">
        <f>IF(Calculation!E10=Calculation!$A$144,Calculation!F10,"")</f>
        <v/>
      </c>
      <c r="G10" s="54" t="str">
        <f>IF(Calculation!E10=Calculation!$A$144,Calculation!G10,"")</f>
        <v/>
      </c>
      <c r="H10" s="54" t="str">
        <f>IF(Calculation!E10=Calculation!$A$144,Calculation!H10,"")</f>
        <v/>
      </c>
      <c r="I10" s="55"/>
      <c r="M10" s="76"/>
      <c r="P10" s="62"/>
      <c r="R10" s="62"/>
      <c r="T10" s="69"/>
      <c r="U10" s="70"/>
    </row>
    <row r="11">
      <c r="A11" s="52" t="str">
        <f>IF(Calculation!E11=Calculation!$A$144,Calculation!B11,"")</f>
        <v/>
      </c>
      <c r="B11" s="53" t="str">
        <f>IF(Calculation!E11=Calculation!$A$144,Calculation!I11,"")</f>
        <v/>
      </c>
      <c r="C11" s="52" t="str">
        <f>IF(Calculation!E11=Calculation!$A$144,Calculation!D11,"")</f>
        <v/>
      </c>
      <c r="D11" s="52" t="str">
        <f>IF(Calculation!E11=Calculation!$A$144,Calculation!$A$3,"")</f>
        <v/>
      </c>
      <c r="E11" s="52" t="str">
        <f>IF(Calculation!E11=Calculation!$A$144,Calculation!C11,"")</f>
        <v/>
      </c>
      <c r="F11" s="52" t="str">
        <f>IF(Calculation!E11=Calculation!$A$144,Calculation!F11,"")</f>
        <v/>
      </c>
      <c r="G11" s="54" t="str">
        <f>IF(Calculation!E11=Calculation!$A$144,Calculation!G11,"")</f>
        <v/>
      </c>
      <c r="H11" s="54" t="str">
        <f>IF(Calculation!E11=Calculation!$A$144,Calculation!H11,"")</f>
        <v/>
      </c>
      <c r="I11" s="55"/>
      <c r="M11" s="77" t="s">
        <v>59</v>
      </c>
      <c r="P11" s="77" t="s">
        <v>60</v>
      </c>
      <c r="R11" s="77" t="s">
        <v>61</v>
      </c>
      <c r="T11" s="69"/>
      <c r="U11" s="70"/>
    </row>
    <row r="12">
      <c r="A12" s="52" t="str">
        <f>IF(Calculation!E12=Calculation!$A$144,Calculation!B12,"")</f>
        <v/>
      </c>
      <c r="B12" s="53" t="str">
        <f>IF(Calculation!E12=Calculation!$A$144,Calculation!I12,"")</f>
        <v/>
      </c>
      <c r="C12" s="52" t="str">
        <f>IF(Calculation!E12=Calculation!$A$144,Calculation!D12,"")</f>
        <v/>
      </c>
      <c r="D12" s="52" t="str">
        <f>IF(Calculation!E12=Calculation!$A$144,Calculation!$A$3,"")</f>
        <v/>
      </c>
      <c r="E12" s="52" t="str">
        <f>IF(Calculation!E12=Calculation!$A$144,Calculation!C12,"")</f>
        <v/>
      </c>
      <c r="F12" s="52" t="str">
        <f>IF(Calculation!E12=Calculation!$A$144,Calculation!F12,"")</f>
        <v/>
      </c>
      <c r="G12" s="54" t="str">
        <f>IF(Calculation!E12=Calculation!$A$144,Calculation!G12,"")</f>
        <v/>
      </c>
      <c r="H12" s="54" t="str">
        <f>IF(Calculation!E12=Calculation!$A$144,Calculation!H12,"")</f>
        <v/>
      </c>
      <c r="I12" s="55"/>
      <c r="M12" s="78" t="str">
        <f>Calculation!A144</f>
        <v>Dyan</v>
      </c>
      <c r="P12" s="78" t="str">
        <f>Calculation!A144</f>
        <v>Dyan</v>
      </c>
      <c r="R12" s="79">
        <v>123456.0</v>
      </c>
      <c r="T12" s="69"/>
      <c r="U12" s="70"/>
    </row>
    <row r="13">
      <c r="A13" s="52" t="str">
        <f>IF(Calculation!E13=Calculation!$A$144,Calculation!B13,"")</f>
        <v/>
      </c>
      <c r="B13" s="53" t="str">
        <f>IF(Calculation!E13=Calculation!$A$144,Calculation!I13,"")</f>
        <v/>
      </c>
      <c r="C13" s="52" t="str">
        <f>IF(Calculation!E13=Calculation!$A$144,Calculation!D13,"")</f>
        <v/>
      </c>
      <c r="D13" s="52" t="str">
        <f>IF(Calculation!E13=Calculation!$A$144,Calculation!$A$3,"")</f>
        <v/>
      </c>
      <c r="E13" s="52" t="str">
        <f>IF(Calculation!E13=Calculation!$A$144,Calculation!C13,"")</f>
        <v/>
      </c>
      <c r="F13" s="52" t="str">
        <f>IF(Calculation!E13=Calculation!$A$144,Calculation!F13,"")</f>
        <v/>
      </c>
      <c r="G13" s="54" t="str">
        <f>IF(Calculation!E13=Calculation!$A$144,Calculation!G13,"")</f>
        <v/>
      </c>
      <c r="H13" s="54" t="str">
        <f>IF(Calculation!E13=Calculation!$A$144,Calculation!H13,"")</f>
        <v/>
      </c>
      <c r="I13" s="55"/>
      <c r="M13" s="78" t="s">
        <v>62</v>
      </c>
      <c r="P13" s="72"/>
      <c r="R13" s="62"/>
      <c r="T13" s="69"/>
      <c r="U13" s="70"/>
    </row>
    <row r="14">
      <c r="A14" s="52" t="str">
        <f>IF(Calculation!E14=Calculation!$A$144,Calculation!B14,"")</f>
        <v/>
      </c>
      <c r="B14" s="53" t="str">
        <f>IF(Calculation!E14=Calculation!$A$144,Calculation!I14,"")</f>
        <v/>
      </c>
      <c r="C14" s="52" t="str">
        <f>IF(Calculation!E14=Calculation!$A$144,Calculation!D14,"")</f>
        <v/>
      </c>
      <c r="D14" s="52" t="str">
        <f>IF(Calculation!E14=Calculation!$A$144,Calculation!$A$3,"")</f>
        <v/>
      </c>
      <c r="E14" s="52" t="str">
        <f>IF(Calculation!E14=Calculation!$A$144,Calculation!C14,"")</f>
        <v/>
      </c>
      <c r="F14" s="52" t="str">
        <f>IF(Calculation!E14=Calculation!$A$144,Calculation!F14,"")</f>
        <v/>
      </c>
      <c r="G14" s="54" t="str">
        <f>IF(Calculation!E14=Calculation!$A$144,Calculation!G14,"")</f>
        <v/>
      </c>
      <c r="H14" s="54" t="str">
        <f>IF(Calculation!E14=Calculation!$A$144,Calculation!H14,"")</f>
        <v/>
      </c>
      <c r="I14" s="55"/>
      <c r="M14" s="78" t="s">
        <v>63</v>
      </c>
      <c r="P14" s="80" t="s">
        <v>64</v>
      </c>
      <c r="R14" s="80" t="s">
        <v>65</v>
      </c>
      <c r="T14" s="69"/>
      <c r="U14" s="70"/>
    </row>
    <row r="15">
      <c r="A15" s="52" t="str">
        <f>IF(Calculation!E15=Calculation!$A$144,Calculation!B15,"")</f>
        <v/>
      </c>
      <c r="B15" s="53" t="str">
        <f>IF(Calculation!E15=Calculation!$A$144,Calculation!I15,"")</f>
        <v/>
      </c>
      <c r="C15" s="52" t="str">
        <f>IF(Calculation!E15=Calculation!$A$144,Calculation!D15,"")</f>
        <v/>
      </c>
      <c r="D15" s="52" t="str">
        <f>IF(Calculation!E15=Calculation!$A$144,Calculation!$A$3,"")</f>
        <v/>
      </c>
      <c r="E15" s="52" t="str">
        <f>IF(Calculation!E15=Calculation!$A$144,Calculation!C15,"")</f>
        <v/>
      </c>
      <c r="F15" s="52" t="str">
        <f>IF(Calculation!E15=Calculation!$A$144,Calculation!F15,"")</f>
        <v/>
      </c>
      <c r="G15" s="54" t="str">
        <f>IF(Calculation!E15=Calculation!$A$144,Calculation!G15,"")</f>
        <v/>
      </c>
      <c r="H15" s="54" t="str">
        <f>IF(Calculation!E15=Calculation!$A$144,Calculation!H15,"")</f>
        <v/>
      </c>
      <c r="I15" s="55"/>
      <c r="M15" s="78" t="s">
        <v>66</v>
      </c>
      <c r="P15" s="78" t="s">
        <v>67</v>
      </c>
      <c r="R15" s="75">
        <v>36531.0</v>
      </c>
      <c r="T15" s="69"/>
      <c r="U15" s="70"/>
    </row>
    <row r="16">
      <c r="A16" s="52" t="str">
        <f>IF(Calculation!E16=Calculation!$A$144,Calculation!B16,"")</f>
        <v/>
      </c>
      <c r="B16" s="53" t="str">
        <f>IF(Calculation!E16=Calculation!$A$144,Calculation!I16,"")</f>
        <v/>
      </c>
      <c r="C16" s="52" t="str">
        <f>IF(Calculation!E16=Calculation!$A$144,Calculation!D16,"")</f>
        <v/>
      </c>
      <c r="D16" s="52" t="str">
        <f>IF(Calculation!E16=Calculation!$A$144,Calculation!$A$16,"")</f>
        <v/>
      </c>
      <c r="E16" s="52" t="str">
        <f>IF(Calculation!E16=Calculation!$A$144,Calculation!C16,"")</f>
        <v/>
      </c>
      <c r="F16" s="52" t="str">
        <f>IF(Calculation!E16=Calculation!$A$144,Calculation!F16,"")</f>
        <v/>
      </c>
      <c r="G16" s="54" t="str">
        <f>IF(Calculation!E16=Calculation!$A$144,Calculation!G16,"")</f>
        <v/>
      </c>
      <c r="H16" s="54" t="str">
        <f>IF(Calculation!E16=Calculation!$A$144,Calculation!H16,"")</f>
        <v/>
      </c>
      <c r="I16" s="55"/>
      <c r="M16" s="81"/>
      <c r="N16" s="82"/>
      <c r="O16" s="82"/>
      <c r="P16" s="81"/>
      <c r="Q16" s="82"/>
      <c r="R16" s="81"/>
      <c r="S16" s="82"/>
      <c r="T16" s="62"/>
      <c r="U16" s="64"/>
    </row>
    <row r="17">
      <c r="A17" s="52" t="str">
        <f>IF(Calculation!E17=Calculation!$A$144,Calculation!B17,"")</f>
        <v/>
      </c>
      <c r="B17" s="53" t="str">
        <f>IF(Calculation!E17=Calculation!$A$144,Calculation!I17,"")</f>
        <v/>
      </c>
      <c r="C17" s="52" t="str">
        <f>IF(Calculation!E17=Calculation!$A$144,Calculation!D17,"")</f>
        <v/>
      </c>
      <c r="D17" s="52" t="str">
        <f>IF(Calculation!E17=Calculation!$A$144,Calculation!$A$16,"")</f>
        <v/>
      </c>
      <c r="E17" s="52" t="str">
        <f>IF(Calculation!E17=Calculation!$A$144,Calculation!C17,"")</f>
        <v/>
      </c>
      <c r="F17" s="52" t="str">
        <f>IF(Calculation!E17=Calculation!$A$144,Calculation!F17,"")</f>
        <v/>
      </c>
      <c r="G17" s="54" t="str">
        <f>IF(Calculation!E17=Calculation!$A$144,Calculation!G17,"")</f>
        <v/>
      </c>
      <c r="H17" s="54" t="str">
        <f>IF(Calculation!E17=Calculation!$A$144,Calculation!H17,"")</f>
        <v/>
      </c>
      <c r="I17" s="55"/>
      <c r="M17" s="62"/>
      <c r="N17" s="62"/>
      <c r="O17" s="62"/>
      <c r="P17" s="62"/>
      <c r="Q17" s="69"/>
      <c r="R17" s="62"/>
      <c r="S17" s="62"/>
      <c r="T17" s="69"/>
      <c r="U17" s="70"/>
    </row>
    <row r="18">
      <c r="A18" s="52" t="str">
        <f>IF(Calculation!E18=Calculation!$A$144,Calculation!B18,"")</f>
        <v/>
      </c>
      <c r="B18" s="53" t="str">
        <f>IF(Calculation!E18=Calculation!$A$144,Calculation!I18,"")</f>
        <v/>
      </c>
      <c r="C18" s="52" t="str">
        <f>IF(Calculation!E18=Calculation!$A$144,Calculation!D18,"")</f>
        <v/>
      </c>
      <c r="D18" s="52" t="str">
        <f>IF(Calculation!E18=Calculation!$A$144,Calculation!$A$16,"")</f>
        <v/>
      </c>
      <c r="E18" s="52" t="str">
        <f>IF(Calculation!E18=Calculation!$A$144,Calculation!C18,"")</f>
        <v/>
      </c>
      <c r="F18" s="52" t="str">
        <f>IF(Calculation!E18=Calculation!$A$144,Calculation!F18,"")</f>
        <v/>
      </c>
      <c r="G18" s="54" t="str">
        <f>IF(Calculation!E18=Calculation!$A$144,Calculation!G18,"")</f>
        <v/>
      </c>
      <c r="H18" s="54" t="str">
        <f>IF(Calculation!E18=Calculation!$A$144,Calculation!H18,"")</f>
        <v/>
      </c>
      <c r="I18" s="55"/>
      <c r="M18" s="83" t="s">
        <v>68</v>
      </c>
      <c r="Q18" s="84" t="s">
        <v>49</v>
      </c>
      <c r="R18" s="84" t="s">
        <v>69</v>
      </c>
      <c r="S18" s="84" t="s">
        <v>70</v>
      </c>
      <c r="T18" s="69"/>
      <c r="U18" s="70"/>
    </row>
    <row r="19" ht="23.25" customHeight="1">
      <c r="A19" s="52" t="str">
        <f>IF(Calculation!E19=Calculation!$A$144,Calculation!B19,"")</f>
        <v/>
      </c>
      <c r="B19" s="53" t="str">
        <f>IF(Calculation!E19=Calculation!$A$144,Calculation!I19,"")</f>
        <v/>
      </c>
      <c r="C19" s="52" t="str">
        <f>IF(Calculation!E19=Calculation!$A$144,Calculation!D19,"")</f>
        <v/>
      </c>
      <c r="D19" s="52" t="str">
        <f>IF(Calculation!E19=Calculation!$A$144,Calculation!$A$16,"")</f>
        <v/>
      </c>
      <c r="E19" s="52" t="str">
        <f>IF(Calculation!E19=Calculation!$A$144,Calculation!C19,"")</f>
        <v/>
      </c>
      <c r="F19" s="52" t="str">
        <f>IF(Calculation!E19=Calculation!$A$144,Calculation!F19,"")</f>
        <v/>
      </c>
      <c r="G19" s="54" t="str">
        <f>IF(Calculation!E19=Calculation!$A$144,Calculation!G19,"")</f>
        <v/>
      </c>
      <c r="H19" s="54" t="str">
        <f>IF(Calculation!E19=Calculation!$A$144,Calculation!H19,"")</f>
        <v/>
      </c>
      <c r="I19" s="55"/>
      <c r="M19" s="85" t="s">
        <v>34</v>
      </c>
      <c r="Q19" s="86">
        <f>SUMIFS(Calculation!$F$3:$F$125,Calculation!$C$3:$C$125,"Short Video Design",Calculation!$E$3:$E$125,Calculation!A144)</f>
        <v>12</v>
      </c>
      <c r="R19" s="87">
        <f>(Calculation!B144)</f>
        <v>200</v>
      </c>
      <c r="S19" s="88">
        <f t="shared" ref="S19:S23" si="1">product(Q19,R19)</f>
        <v>2400</v>
      </c>
      <c r="T19" s="69"/>
      <c r="U19" s="70"/>
    </row>
    <row r="20" ht="18.0" customHeight="1">
      <c r="A20" s="52" t="str">
        <f>IF(Calculation!E20=Calculation!$A$144,Calculation!B20,"")</f>
        <v/>
      </c>
      <c r="B20" s="53" t="str">
        <f>IF(Calculation!E20=Calculation!$A$144,Calculation!I20,"")</f>
        <v/>
      </c>
      <c r="C20" s="52" t="str">
        <f>IF(Calculation!E20=Calculation!$A$144,Calculation!D20,"")</f>
        <v/>
      </c>
      <c r="D20" s="52" t="str">
        <f>IF(Calculation!E20=Calculation!$A$144,Calculation!$A$16,"")</f>
        <v/>
      </c>
      <c r="E20" s="52" t="str">
        <f>IF(Calculation!E20=Calculation!$A$144,Calculation!C20,"")</f>
        <v/>
      </c>
      <c r="F20" s="52" t="str">
        <f>IF(Calculation!E20=Calculation!$A$144,Calculation!F20,"")</f>
        <v/>
      </c>
      <c r="G20" s="54" t="str">
        <f>IF(Calculation!E20=Calculation!$A$144,Calculation!G20,"")</f>
        <v/>
      </c>
      <c r="H20" s="54" t="str">
        <f>IF(Calculation!E20=Calculation!$A$144,Calculation!H20,"")</f>
        <v/>
      </c>
      <c r="I20" s="55"/>
      <c r="M20" s="89" t="s">
        <v>35</v>
      </c>
      <c r="Q20" s="86">
        <f>SUMIFS(Calculation!$F$3:$F$125,Calculation!$C$3:$C$125,"Long Video Design",Calculation!$E$3:$E$125,Calculation!A144)</f>
        <v>0</v>
      </c>
      <c r="R20" s="87">
        <f>(Calculation!C144)</f>
        <v>800</v>
      </c>
      <c r="S20" s="90">
        <f t="shared" si="1"/>
        <v>0</v>
      </c>
      <c r="T20" s="69"/>
      <c r="U20" s="70"/>
    </row>
    <row r="21" ht="21.0" customHeight="1">
      <c r="A21" s="52" t="str">
        <f>IF(Calculation!E21=Calculation!$A$144,Calculation!B21,"")</f>
        <v/>
      </c>
      <c r="B21" s="53" t="str">
        <f>IF(Calculation!E21=Calculation!$A$144,Calculation!I21,"")</f>
        <v/>
      </c>
      <c r="C21" s="52" t="str">
        <f>IF(Calculation!E21=Calculation!$A$144,Calculation!D21,"")</f>
        <v/>
      </c>
      <c r="D21" s="52" t="str">
        <f>IF(Calculation!E21=Calculation!$A$144,Calculation!$A$16,"")</f>
        <v/>
      </c>
      <c r="E21" s="52" t="str">
        <f>IF(Calculation!E21=Calculation!$A$144,Calculation!C21,"")</f>
        <v/>
      </c>
      <c r="F21" s="52" t="str">
        <f>IF(Calculation!E21=Calculation!$A$144,Calculation!F21,"")</f>
        <v/>
      </c>
      <c r="G21" s="54" t="str">
        <f>IF(Calculation!E21=Calculation!$A$144,Calculation!G21,"")</f>
        <v/>
      </c>
      <c r="H21" s="54" t="str">
        <f>IF(Calculation!E21=Calculation!$A$144,Calculation!H21,"")</f>
        <v/>
      </c>
      <c r="I21" s="55"/>
      <c r="M21" s="91" t="s">
        <v>25</v>
      </c>
      <c r="Q21" s="86">
        <f>SUMIFS(Calculation!$F$3:$F$125,Calculation!$C$3:$C$125,"Content for Poster",Calculation!$E$3:$E$125,Calculation!A144)</f>
        <v>0</v>
      </c>
      <c r="R21" s="87">
        <f>(Calculation!D144)</f>
        <v>100</v>
      </c>
      <c r="S21" s="88">
        <f t="shared" si="1"/>
        <v>0</v>
      </c>
      <c r="T21" s="69"/>
      <c r="U21" s="70"/>
    </row>
    <row r="22" ht="21.0" customHeight="1">
      <c r="A22" s="52" t="str">
        <f>IF(Calculation!E22=Calculation!$A$144,Calculation!B22,"")</f>
        <v/>
      </c>
      <c r="B22" s="53" t="str">
        <f>IF(Calculation!E22=Calculation!$A$144,Calculation!I22,"")</f>
        <v/>
      </c>
      <c r="C22" s="52" t="str">
        <f>IF(Calculation!E22=Calculation!$A$144,Calculation!D22,"")</f>
        <v/>
      </c>
      <c r="D22" s="52" t="str">
        <f>IF(Calculation!E22=Calculation!$A$144,Calculation!$A$16,"")</f>
        <v/>
      </c>
      <c r="E22" s="52" t="str">
        <f>IF(Calculation!E22=Calculation!$A$144,Calculation!C22,"")</f>
        <v/>
      </c>
      <c r="F22" s="52" t="str">
        <f>IF(Calculation!E22=Calculation!$A$144,Calculation!F22,"")</f>
        <v/>
      </c>
      <c r="G22" s="54" t="str">
        <f>IF(Calculation!E22=Calculation!$A$144,Calculation!G22,"")</f>
        <v/>
      </c>
      <c r="H22" s="54" t="str">
        <f>IF(Calculation!E22=Calculation!$A$144,Calculation!H22,"")</f>
        <v/>
      </c>
      <c r="I22" s="55"/>
      <c r="M22" s="92" t="s">
        <v>36</v>
      </c>
      <c r="Q22" s="86">
        <f>SUMIFS(Calculation!$F$3:$F$125,Calculation!$C$3:$C$125,"Content for Video",Calculation!$E$3:$E$125,Calculation!A144)</f>
        <v>0</v>
      </c>
      <c r="R22" s="87">
        <f>(Calculation!E144)</f>
        <v>300</v>
      </c>
      <c r="S22" s="90">
        <f t="shared" si="1"/>
        <v>0</v>
      </c>
      <c r="T22" s="69"/>
      <c r="U22" s="70"/>
    </row>
    <row r="23" ht="20.25" customHeight="1">
      <c r="A23" s="52" t="str">
        <f>IF(Calculation!E23=Calculation!$A$144,Calculation!B23,"")</f>
        <v/>
      </c>
      <c r="B23" s="53" t="str">
        <f>IF(Calculation!E23=Calculation!$A$144,Calculation!I23,"")</f>
        <v/>
      </c>
      <c r="C23" s="52" t="str">
        <f>IF(Calculation!E23=Calculation!$A$144,Calculation!D23,"")</f>
        <v/>
      </c>
      <c r="D23" s="52" t="str">
        <f>IF(Calculation!E23=Calculation!$A$144,Calculation!$A$16,"")</f>
        <v/>
      </c>
      <c r="E23" s="52" t="str">
        <f>IF(Calculation!E23=Calculation!$A$144,Calculation!C23,"")</f>
        <v/>
      </c>
      <c r="F23" s="52" t="str">
        <f>IF(Calculation!E23=Calculation!$A$144,Calculation!F23,"")</f>
        <v/>
      </c>
      <c r="G23" s="54" t="str">
        <f>IF(Calculation!E23=Calculation!$A$144,Calculation!G23,"")</f>
        <v/>
      </c>
      <c r="H23" s="54" t="str">
        <f>IF(Calculation!E23=Calculation!$A$144,Calculation!H23,"")</f>
        <v/>
      </c>
      <c r="I23" s="55"/>
      <c r="M23" s="93" t="s">
        <v>16</v>
      </c>
      <c r="N23" s="93"/>
      <c r="O23" s="94"/>
      <c r="P23" s="94"/>
      <c r="Q23" s="86">
        <f>SUMIFS(Calculation!$F$3:$F$125,Calculation!$C$3:$C$125,"Poster Design",Calculation!$E$3:$E$125,Calculation!A144)</f>
        <v>0</v>
      </c>
      <c r="R23" s="95">
        <f>(Calculation!F144)</f>
        <v>200</v>
      </c>
      <c r="S23" s="96">
        <f t="shared" si="1"/>
        <v>0</v>
      </c>
      <c r="T23" s="69"/>
      <c r="U23" s="70"/>
    </row>
    <row r="24">
      <c r="A24" s="52" t="str">
        <f>IF(Calculation!E24=Calculation!$A$144,Calculation!B24,"")</f>
        <v/>
      </c>
      <c r="B24" s="53" t="str">
        <f>IF(Calculation!E24=Calculation!$A$144,Calculation!I24,"")</f>
        <v/>
      </c>
      <c r="C24" s="52" t="str">
        <f>IF(Calculation!E24=Calculation!$A$144,Calculation!D24,"")</f>
        <v/>
      </c>
      <c r="D24" s="52" t="str">
        <f>IF(Calculation!E24=Calculation!$A$144,Calculation!$A$16,"")</f>
        <v/>
      </c>
      <c r="E24" s="52" t="str">
        <f>IF(Calculation!E24=Calculation!$A$144,Calculation!C24,"")</f>
        <v/>
      </c>
      <c r="F24" s="52" t="str">
        <f>IF(Calculation!E24=Calculation!$A$144,Calculation!F24,"")</f>
        <v/>
      </c>
      <c r="G24" s="54" t="str">
        <f>IF(Calculation!E24=Calculation!$A$144,Calculation!G24,"")</f>
        <v/>
      </c>
      <c r="H24" s="54" t="str">
        <f>IF(Calculation!E24=Calculation!$A$144,Calculation!H24,"")</f>
        <v/>
      </c>
      <c r="I24" s="55"/>
      <c r="M24" s="97" t="s">
        <v>71</v>
      </c>
      <c r="N24" s="97"/>
      <c r="O24" s="62"/>
      <c r="R24" s="109" t="s">
        <v>72</v>
      </c>
      <c r="S24" s="99">
        <f>sum(S19:S23)</f>
        <v>2400</v>
      </c>
      <c r="T24" s="62"/>
      <c r="U24" s="64"/>
    </row>
    <row r="25">
      <c r="A25" s="52" t="str">
        <f>IF(Calculation!E25=Calculation!$A$144,Calculation!B25,"")</f>
        <v/>
      </c>
      <c r="B25" s="53" t="str">
        <f>IF(Calculation!E25=Calculation!$A$144,Calculation!I25,"")</f>
        <v/>
      </c>
      <c r="C25" s="52" t="str">
        <f>IF(Calculation!E25=Calculation!$A$144,Calculation!D25,"")</f>
        <v/>
      </c>
      <c r="D25" s="52" t="str">
        <f>IF(Calculation!E25=Calculation!$A$144,Calculation!$A$16,"")</f>
        <v/>
      </c>
      <c r="E25" s="52" t="str">
        <f>IF(Calculation!E25=Calculation!$A$144,Calculation!C25,"")</f>
        <v/>
      </c>
      <c r="F25" s="52" t="str">
        <f>IF(Calculation!E25=Calculation!$A$144,Calculation!F25,"")</f>
        <v/>
      </c>
      <c r="G25" s="54" t="str">
        <f>IF(Calculation!E25=Calculation!$A$144,Calculation!G25,"")</f>
        <v/>
      </c>
      <c r="H25" s="54" t="str">
        <f>IF(Calculation!E25=Calculation!$A$144,Calculation!H25,"")</f>
        <v/>
      </c>
      <c r="I25" s="55"/>
      <c r="M25" s="62"/>
      <c r="N25" s="62"/>
      <c r="O25" s="62"/>
      <c r="R25" s="109" t="s">
        <v>73</v>
      </c>
      <c r="S25" s="100">
        <v>0.0</v>
      </c>
      <c r="T25" s="62"/>
      <c r="U25" s="64"/>
    </row>
    <row r="26">
      <c r="A26" s="52" t="str">
        <f>IF(Calculation!E26=Calculation!$A$144,Calculation!B26,"")</f>
        <v/>
      </c>
      <c r="B26" s="53" t="str">
        <f>IF(Calculation!E26=Calculation!$A$144,Calculation!I26,"")</f>
        <v/>
      </c>
      <c r="C26" s="52" t="str">
        <f>IF(Calculation!E26=Calculation!$A$144,Calculation!D26,"")</f>
        <v/>
      </c>
      <c r="D26" s="52" t="str">
        <f>IF(Calculation!E26=Calculation!$A$144,Calculation!$A$16,"")</f>
        <v/>
      </c>
      <c r="E26" s="52" t="str">
        <f>IF(Calculation!E26=Calculation!$A$144,Calculation!C26,"")</f>
        <v/>
      </c>
      <c r="F26" s="52" t="str">
        <f>IF(Calculation!E26=Calculation!$A$144,Calculation!F26,"")</f>
        <v/>
      </c>
      <c r="G26" s="54" t="str">
        <f>IF(Calculation!E26=Calculation!$A$144,Calculation!G26,"")</f>
        <v/>
      </c>
      <c r="H26" s="54" t="str">
        <f>IF(Calculation!E26=Calculation!$A$144,Calculation!H26,"")</f>
        <v/>
      </c>
      <c r="I26" s="55"/>
      <c r="M26" s="69"/>
      <c r="N26" s="69"/>
      <c r="O26" s="69"/>
      <c r="P26" s="69"/>
      <c r="Q26" s="69"/>
      <c r="R26" s="101">
        <f>sum(S24,S25)</f>
        <v>2400</v>
      </c>
      <c r="T26" s="69"/>
      <c r="U26" s="70"/>
    </row>
    <row r="27">
      <c r="A27" s="52" t="str">
        <f>IF(Calculation!E27=Calculation!$A$144,Calculation!B27,"")</f>
        <v/>
      </c>
      <c r="B27" s="53" t="str">
        <f>IF(Calculation!E27=Calculation!$A$144,Calculation!I27,"")</f>
        <v/>
      </c>
      <c r="C27" s="52" t="str">
        <f>IF(Calculation!E27=Calculation!$A$144,Calculation!D27,"")</f>
        <v/>
      </c>
      <c r="D27" s="52" t="str">
        <f>IF(Calculation!E27=Calculation!$A$144,Calculation!$A$16,"")</f>
        <v/>
      </c>
      <c r="E27" s="52" t="str">
        <f>IF(Calculation!E27=Calculation!$A$144,Calculation!C27,"")</f>
        <v/>
      </c>
      <c r="F27" s="52" t="str">
        <f>IF(Calculation!E27=Calculation!$A$144,Calculation!F27,"")</f>
        <v/>
      </c>
      <c r="G27" s="54" t="str">
        <f>IF(Calculation!E27=Calculation!$A$144,Calculation!G27,"")</f>
        <v/>
      </c>
      <c r="H27" s="54" t="str">
        <f>IF(Calculation!E27=Calculation!$A$144,Calculation!H27,"")</f>
        <v/>
      </c>
      <c r="I27" s="55"/>
      <c r="M27" s="102"/>
      <c r="N27" s="102"/>
      <c r="O27" s="69"/>
      <c r="P27" s="69"/>
      <c r="Q27" s="69"/>
      <c r="R27" s="69"/>
      <c r="S27" s="69"/>
      <c r="T27" s="69"/>
      <c r="U27" s="70"/>
    </row>
    <row r="28">
      <c r="A28" s="52" t="str">
        <f>IF(Calculation!E28=Calculation!$A$144,Calculation!B28,"")</f>
        <v/>
      </c>
      <c r="B28" s="53" t="str">
        <f>IF(Calculation!E28=Calculation!$A$144,Calculation!I28,"")</f>
        <v/>
      </c>
      <c r="C28" s="52" t="str">
        <f>IF(Calculation!E28=Calculation!$A$144,Calculation!D28,"")</f>
        <v/>
      </c>
      <c r="D28" s="52" t="str">
        <f>IF(Calculation!E28=Calculation!$A$144,Calculation!$A$16,"")</f>
        <v/>
      </c>
      <c r="E28" s="52" t="str">
        <f>IF(Calculation!E28=Calculation!$A$144,Calculation!C28,"")</f>
        <v/>
      </c>
      <c r="F28" s="52" t="str">
        <f>IF(Calculation!E28=Calculation!$A$144,Calculation!F28,"")</f>
        <v/>
      </c>
      <c r="G28" s="54" t="str">
        <f>IF(Calculation!E28=Calculation!$A$144,Calculation!G28,"")</f>
        <v/>
      </c>
      <c r="H28" s="54" t="str">
        <f>IF(Calculation!E28=Calculation!$A$144,Calculation!H28,"")</f>
        <v/>
      </c>
      <c r="I28" s="55"/>
      <c r="U28" s="103"/>
    </row>
    <row r="29">
      <c r="A29" s="52" t="str">
        <f>IF(Calculation!E29=Calculation!$A$144,Calculation!B29,"")</f>
        <v/>
      </c>
      <c r="B29" s="53" t="str">
        <f>IF(Calculation!E29=Calculation!$A$144,Calculation!I29,"")</f>
        <v/>
      </c>
      <c r="C29" s="52" t="str">
        <f>IF(Calculation!E29=Calculation!$A$144,Calculation!D29,"")</f>
        <v/>
      </c>
      <c r="D29" s="52" t="str">
        <f>IF(Calculation!E29=Calculation!$A$144,Calculation!$A$29,"")</f>
        <v/>
      </c>
      <c r="E29" s="52" t="str">
        <f>IF(Calculation!E29=Calculation!$A$144,Calculation!C29,"")</f>
        <v/>
      </c>
      <c r="F29" s="52" t="str">
        <f>IF(Calculation!E29=Calculation!$A$144,Calculation!F29,"")</f>
        <v/>
      </c>
      <c r="G29" s="54" t="str">
        <f>IF(Calculation!E29=Calculation!$A$144,Calculation!G29,"")</f>
        <v/>
      </c>
      <c r="H29" s="54" t="str">
        <f>IF(Calculation!E29=Calculation!$A$144,Calculation!H29,"")</f>
        <v/>
      </c>
      <c r="I29" s="55"/>
      <c r="U29" s="103"/>
    </row>
    <row r="30">
      <c r="A30" s="52" t="str">
        <f>IF(Calculation!E30=Calculation!$A$144,Calculation!B30,"")</f>
        <v/>
      </c>
      <c r="B30" s="53" t="str">
        <f>IF(Calculation!E30=Calculation!$A$144,Calculation!I30,"")</f>
        <v/>
      </c>
      <c r="C30" s="52" t="str">
        <f>IF(Calculation!E30=Calculation!$A$144,Calculation!D30,"")</f>
        <v/>
      </c>
      <c r="D30" s="52" t="str">
        <f>IF(Calculation!E30=Calculation!$A$144,Calculation!$A$29,"")</f>
        <v/>
      </c>
      <c r="E30" s="52" t="str">
        <f>IF(Calculation!E30=Calculation!$A$144,Calculation!C30,"")</f>
        <v/>
      </c>
      <c r="F30" s="52" t="str">
        <f>IF(Calculation!E30=Calculation!$A$144,Calculation!F30,"")</f>
        <v/>
      </c>
      <c r="G30" s="54" t="str">
        <f>IF(Calculation!E30=Calculation!$A$144,Calculation!G30,"")</f>
        <v/>
      </c>
      <c r="H30" s="54" t="str">
        <f>IF(Calculation!E30=Calculation!$A$144,Calculation!H30,"")</f>
        <v/>
      </c>
      <c r="I30" s="55"/>
      <c r="U30" s="103"/>
    </row>
    <row r="31">
      <c r="A31" s="52" t="str">
        <f>IF(Calculation!E31=Calculation!$A$144,Calculation!B31,"")</f>
        <v/>
      </c>
      <c r="B31" s="53" t="str">
        <f>IF(Calculation!E31=Calculation!$A$144,Calculation!I31,"")</f>
        <v/>
      </c>
      <c r="C31" s="52" t="str">
        <f>IF(Calculation!E31=Calculation!$A$144,Calculation!D31,"")</f>
        <v/>
      </c>
      <c r="D31" s="52" t="str">
        <f>IF(Calculation!E31=Calculation!$A$144,Calculation!$A$29,"")</f>
        <v/>
      </c>
      <c r="E31" s="52" t="str">
        <f>IF(Calculation!E31=Calculation!$A$144,Calculation!C31,"")</f>
        <v/>
      </c>
      <c r="F31" s="52" t="str">
        <f>IF(Calculation!E31=Calculation!$A$144,Calculation!F31,"")</f>
        <v/>
      </c>
      <c r="G31" s="54" t="str">
        <f>IF(Calculation!E31=Calculation!$A$144,Calculation!G31,"")</f>
        <v/>
      </c>
      <c r="H31" s="54" t="str">
        <f>IF(Calculation!E31=Calculation!$A$144,Calculation!H31,"")</f>
        <v/>
      </c>
      <c r="I31" s="55"/>
      <c r="U31" s="103"/>
    </row>
    <row r="32">
      <c r="A32" s="52" t="str">
        <f>IF(Calculation!E32=Calculation!$A$144,Calculation!B32,"")</f>
        <v/>
      </c>
      <c r="B32" s="53" t="str">
        <f>IF(Calculation!E32=Calculation!$A$144,Calculation!I32,"")</f>
        <v/>
      </c>
      <c r="C32" s="52" t="str">
        <f>IF(Calculation!E32=Calculation!$A$144,Calculation!D32,"")</f>
        <v/>
      </c>
      <c r="D32" s="52" t="str">
        <f>IF(Calculation!E32=Calculation!$A$144,Calculation!$A$29,"")</f>
        <v/>
      </c>
      <c r="E32" s="52" t="str">
        <f>IF(Calculation!E32=Calculation!$A$144,Calculation!C32,"")</f>
        <v/>
      </c>
      <c r="F32" s="52" t="str">
        <f>IF(Calculation!E32=Calculation!$A$144,Calculation!F32,"")</f>
        <v/>
      </c>
      <c r="G32" s="54" t="str">
        <f>IF(Calculation!E32=Calculation!$A$144,Calculation!G32,"")</f>
        <v/>
      </c>
      <c r="H32" s="54" t="str">
        <f>IF(Calculation!E32=Calculation!$A$144,Calculation!H32,"")</f>
        <v/>
      </c>
      <c r="I32" s="55"/>
      <c r="U32" s="103"/>
    </row>
    <row r="33">
      <c r="A33" s="52" t="str">
        <f>IF(Calculation!E33=Calculation!$A$144,Calculation!B33,"")</f>
        <v/>
      </c>
      <c r="B33" s="53" t="str">
        <f>IF(Calculation!E33=Calculation!$A$144,Calculation!I33,"")</f>
        <v/>
      </c>
      <c r="C33" s="52" t="str">
        <f>IF(Calculation!E33=Calculation!$A$144,Calculation!D33,"")</f>
        <v/>
      </c>
      <c r="D33" s="52" t="str">
        <f>IF(Calculation!E33=Calculation!$A$144,Calculation!$A$29,"")</f>
        <v/>
      </c>
      <c r="E33" s="52" t="str">
        <f>IF(Calculation!E33=Calculation!$A$144,Calculation!C33,"")</f>
        <v/>
      </c>
      <c r="F33" s="52" t="str">
        <f>IF(Calculation!E33=Calculation!$A$144,Calculation!F33,"")</f>
        <v/>
      </c>
      <c r="G33" s="54" t="str">
        <f>IF(Calculation!E33=Calculation!$A$144,Calculation!G33,"")</f>
        <v/>
      </c>
      <c r="H33" s="54" t="str">
        <f>IF(Calculation!E33=Calculation!$A$144,Calculation!H33,"")</f>
        <v/>
      </c>
      <c r="I33" s="55"/>
      <c r="U33" s="103"/>
    </row>
    <row r="34">
      <c r="A34" s="52" t="str">
        <f>IF(Calculation!E34=Calculation!$A$144,Calculation!B34,"")</f>
        <v/>
      </c>
      <c r="B34" s="53" t="str">
        <f>IF(Calculation!E34=Calculation!$A$144,Calculation!I34,"")</f>
        <v/>
      </c>
      <c r="C34" s="52" t="str">
        <f>IF(Calculation!E34=Calculation!$A$144,Calculation!D34,"")</f>
        <v/>
      </c>
      <c r="D34" s="52" t="str">
        <f>IF(Calculation!E34=Calculation!$A$144,Calculation!$A$29,"")</f>
        <v/>
      </c>
      <c r="E34" s="52" t="str">
        <f>IF(Calculation!E34=Calculation!$A$144,Calculation!C34,"")</f>
        <v/>
      </c>
      <c r="F34" s="52" t="str">
        <f>IF(Calculation!E34=Calculation!$A$144,Calculation!F34,"")</f>
        <v/>
      </c>
      <c r="G34" s="54" t="str">
        <f>IF(Calculation!E34=Calculation!$A$144,Calculation!G34,"")</f>
        <v/>
      </c>
      <c r="H34" s="54" t="str">
        <f>IF(Calculation!E34=Calculation!$A$144,Calculation!H34,"")</f>
        <v/>
      </c>
      <c r="I34" s="55"/>
      <c r="U34" s="103"/>
    </row>
    <row r="35">
      <c r="A35" s="52" t="str">
        <f>IF(Calculation!E35=Calculation!$A$144,Calculation!B35,"")</f>
        <v/>
      </c>
      <c r="B35" s="53" t="str">
        <f>IF(Calculation!E35=Calculation!$A$144,Calculation!I35,"")</f>
        <v/>
      </c>
      <c r="C35" s="52" t="str">
        <f>IF(Calculation!E35=Calculation!$A$144,Calculation!D35,"")</f>
        <v/>
      </c>
      <c r="D35" s="52" t="str">
        <f>IF(Calculation!E35=Calculation!$A$144,Calculation!$A$29,"")</f>
        <v/>
      </c>
      <c r="E35" s="52" t="str">
        <f>IF(Calculation!E35=Calculation!$A$144,Calculation!C35,"")</f>
        <v/>
      </c>
      <c r="F35" s="52" t="str">
        <f>IF(Calculation!E35=Calculation!$A$144,Calculation!F35,"")</f>
        <v/>
      </c>
      <c r="G35" s="54" t="str">
        <f>IF(Calculation!E35=Calculation!$A$144,Calculation!G35,"")</f>
        <v/>
      </c>
      <c r="H35" s="54" t="str">
        <f>IF(Calculation!E35=Calculation!$A$144,Calculation!H35,"")</f>
        <v/>
      </c>
      <c r="I35" s="55"/>
      <c r="U35" s="103"/>
    </row>
    <row r="36">
      <c r="A36" s="52" t="str">
        <f>IF(Calculation!E36=Calculation!$A$144,Calculation!B36,"")</f>
        <v/>
      </c>
      <c r="B36" s="53" t="str">
        <f>IF(Calculation!E36=Calculation!$A$144,Calculation!I36,"")</f>
        <v/>
      </c>
      <c r="C36" s="52" t="str">
        <f>IF(Calculation!E36=Calculation!$A$144,Calculation!D36,"")</f>
        <v/>
      </c>
      <c r="D36" s="52" t="str">
        <f>IF(Calculation!E36=Calculation!$A$144,Calculation!$A$29,"")</f>
        <v/>
      </c>
      <c r="E36" s="52" t="str">
        <f>IF(Calculation!E36=Calculation!$A$144,Calculation!C36,"")</f>
        <v/>
      </c>
      <c r="F36" s="52" t="str">
        <f>IF(Calculation!E36=Calculation!$A$144,Calculation!F36,"")</f>
        <v/>
      </c>
      <c r="G36" s="54" t="str">
        <f>IF(Calculation!E36=Calculation!$A$144,Calculation!G36,"")</f>
        <v/>
      </c>
      <c r="H36" s="54" t="str">
        <f>IF(Calculation!E36=Calculation!$A$144,Calculation!H36,"")</f>
        <v/>
      </c>
      <c r="I36" s="55"/>
      <c r="U36" s="103"/>
    </row>
    <row r="37">
      <c r="A37" s="52" t="str">
        <f>IF(Calculation!E37=Calculation!$A$144,Calculation!B37,"")</f>
        <v/>
      </c>
      <c r="B37" s="53" t="str">
        <f>IF(Calculation!E37=Calculation!$A$144,Calculation!I37,"")</f>
        <v/>
      </c>
      <c r="C37" s="52" t="str">
        <f>IF(Calculation!E37=Calculation!$A$144,Calculation!D37,"")</f>
        <v/>
      </c>
      <c r="D37" s="52" t="str">
        <f>IF(Calculation!E37=Calculation!$A$144,Calculation!$A$29,"")</f>
        <v/>
      </c>
      <c r="E37" s="52" t="str">
        <f>IF(Calculation!E37=Calculation!$A$144,Calculation!C37,"")</f>
        <v/>
      </c>
      <c r="F37" s="52" t="str">
        <f>IF(Calculation!E37=Calculation!$A$144,Calculation!F37,"")</f>
        <v/>
      </c>
      <c r="G37" s="54" t="str">
        <f>IF(Calculation!E37=Calculation!$A$144,Calculation!G37,"")</f>
        <v/>
      </c>
      <c r="H37" s="54" t="str">
        <f>IF(Calculation!E37=Calculation!$A$144,Calculation!H37,"")</f>
        <v/>
      </c>
      <c r="I37" s="55"/>
      <c r="U37" s="103"/>
    </row>
    <row r="38">
      <c r="A38" s="52" t="str">
        <f>IF(Calculation!E38=Calculation!$A$144,Calculation!B38,"")</f>
        <v/>
      </c>
      <c r="B38" s="53" t="str">
        <f>IF(Calculation!E38=Calculation!$A$144,Calculation!I38,"")</f>
        <v/>
      </c>
      <c r="C38" s="52" t="str">
        <f>IF(Calculation!E38=Calculation!$A$144,Calculation!D38,"")</f>
        <v/>
      </c>
      <c r="D38" s="52" t="str">
        <f>IF(Calculation!E38=Calculation!$A$144,Calculation!$A$29,"")</f>
        <v/>
      </c>
      <c r="E38" s="52" t="str">
        <f>IF(Calculation!E38=Calculation!$A$144,Calculation!C38,"")</f>
        <v/>
      </c>
      <c r="F38" s="52" t="str">
        <f>IF(Calculation!E38=Calculation!$A$144,Calculation!F38,"")</f>
        <v/>
      </c>
      <c r="G38" s="54" t="str">
        <f>IF(Calculation!E38=Calculation!$A$144,Calculation!G38,"")</f>
        <v/>
      </c>
      <c r="H38" s="54" t="str">
        <f>IF(Calculation!E38=Calculation!$A$144,Calculation!H38,"")</f>
        <v/>
      </c>
      <c r="I38" s="55"/>
      <c r="U38" s="103"/>
    </row>
    <row r="39">
      <c r="A39" s="52" t="str">
        <f>IF(Calculation!E39=Calculation!$A$144,Calculation!B39,"")</f>
        <v/>
      </c>
      <c r="B39" s="53" t="str">
        <f>IF(Calculation!E39=Calculation!$A$144,Calculation!I39,"")</f>
        <v/>
      </c>
      <c r="C39" s="52" t="str">
        <f>IF(Calculation!E39=Calculation!$A$144,Calculation!D39,"")</f>
        <v/>
      </c>
      <c r="D39" s="52" t="str">
        <f>IF(Calculation!E39=Calculation!$A$144,Calculation!$A$29,"")</f>
        <v/>
      </c>
      <c r="E39" s="52" t="str">
        <f>IF(Calculation!E39=Calculation!$A$144,Calculation!C39,"")</f>
        <v/>
      </c>
      <c r="F39" s="52" t="str">
        <f>IF(Calculation!E39=Calculation!$A$144,Calculation!F39,"")</f>
        <v/>
      </c>
      <c r="G39" s="54" t="str">
        <f>IF(Calculation!E39=Calculation!$A$144,Calculation!G39,"")</f>
        <v/>
      </c>
      <c r="H39" s="54" t="str">
        <f>IF(Calculation!E39=Calculation!$A$144,Calculation!H39,"")</f>
        <v/>
      </c>
      <c r="I39" s="55"/>
      <c r="U39" s="103"/>
    </row>
    <row r="40">
      <c r="A40" s="52" t="str">
        <f>IF(Calculation!E40=Calculation!$A$144,Calculation!B40,"")</f>
        <v/>
      </c>
      <c r="B40" s="53" t="str">
        <f>IF(Calculation!E40=Calculation!$A$144,Calculation!I40,"")</f>
        <v/>
      </c>
      <c r="C40" s="52" t="str">
        <f>IF(Calculation!E40=Calculation!$A$144,Calculation!D40,"")</f>
        <v/>
      </c>
      <c r="D40" s="52" t="str">
        <f>IF(Calculation!E40=Calculation!$A$144,Calculation!$A$29,"")</f>
        <v/>
      </c>
      <c r="E40" s="52" t="str">
        <f>IF(Calculation!E40=Calculation!$A$144,Calculation!C40,"")</f>
        <v/>
      </c>
      <c r="F40" s="52" t="str">
        <f>IF(Calculation!E40=Calculation!$A$144,Calculation!F40,"")</f>
        <v/>
      </c>
      <c r="G40" s="54" t="str">
        <f>IF(Calculation!E40=Calculation!$A$144,Calculation!G40,"")</f>
        <v/>
      </c>
      <c r="H40" s="54" t="str">
        <f>IF(Calculation!E40=Calculation!$A$144,Calculation!H40,"")</f>
        <v/>
      </c>
      <c r="I40" s="55"/>
      <c r="M40" s="104"/>
      <c r="N40" s="104"/>
      <c r="O40" s="104"/>
      <c r="P40" s="104"/>
      <c r="Q40" s="104"/>
      <c r="R40" s="104"/>
      <c r="S40" s="104"/>
      <c r="T40" s="104"/>
      <c r="U40" s="105"/>
    </row>
    <row r="41">
      <c r="A41" s="52" t="str">
        <f>IF(Calculation!E41=Calculation!$A$144,Calculation!B41,"")</f>
        <v/>
      </c>
      <c r="B41" s="53" t="str">
        <f>IF(Calculation!E41=Calculation!$A$144,Calculation!I41,"")</f>
        <v/>
      </c>
      <c r="C41" s="52" t="str">
        <f>IF(Calculation!E41=Calculation!$A$144,Calculation!D41,"")</f>
        <v/>
      </c>
      <c r="D41" s="52" t="str">
        <f>IF(Calculation!E41=Calculation!$A$144,Calculation!$A$41,"")</f>
        <v/>
      </c>
      <c r="E41" s="52" t="str">
        <f>IF(Calculation!E41=Calculation!$A$144,Calculation!C41,"")</f>
        <v/>
      </c>
      <c r="F41" s="52" t="str">
        <f>IF(Calculation!E41=Calculation!$A$144,Calculation!F41,"")</f>
        <v/>
      </c>
      <c r="G41" s="54" t="str">
        <f>IF(Calculation!E41=Calculation!$A$144,Calculation!G41,"")</f>
        <v/>
      </c>
      <c r="H41" s="54" t="str">
        <f>IF(Calculation!E41=Calculation!$A$144,Calculation!H41,"")</f>
        <v/>
      </c>
      <c r="I41" s="55"/>
    </row>
    <row r="42">
      <c r="A42" s="52" t="str">
        <f>IF(Calculation!E42=Calculation!$A$144,Calculation!B42,"")</f>
        <v/>
      </c>
      <c r="B42" s="53" t="str">
        <f>IF(Calculation!E42=Calculation!$A$144,Calculation!I42,"")</f>
        <v/>
      </c>
      <c r="C42" s="52" t="str">
        <f>IF(Calculation!E42=Calculation!$A$144,Calculation!D42,"")</f>
        <v/>
      </c>
      <c r="D42" s="52" t="str">
        <f>IF(Calculation!E42=Calculation!$A$144,Calculation!$A$41,"")</f>
        <v/>
      </c>
      <c r="E42" s="52" t="str">
        <f>IF(Calculation!E42=Calculation!$A$144,Calculation!C42,"")</f>
        <v/>
      </c>
      <c r="F42" s="52" t="str">
        <f>IF(Calculation!E42=Calculation!$A$144,Calculation!F42,"")</f>
        <v/>
      </c>
      <c r="G42" s="54" t="str">
        <f>IF(Calculation!E42=Calculation!$A$144,Calculation!G42,"")</f>
        <v/>
      </c>
      <c r="H42" s="54" t="str">
        <f>IF(Calculation!E42=Calculation!$A$144,Calculation!H42,"")</f>
        <v/>
      </c>
      <c r="I42" s="55"/>
    </row>
    <row r="43">
      <c r="A43" s="52" t="str">
        <f>IF(Calculation!E43=Calculation!$A$144,Calculation!B43,"")</f>
        <v/>
      </c>
      <c r="B43" s="53" t="str">
        <f>IF(Calculation!E43=Calculation!$A$144,Calculation!I43,"")</f>
        <v/>
      </c>
      <c r="C43" s="52" t="str">
        <f>IF(Calculation!E43=Calculation!$A$144,Calculation!D43,"")</f>
        <v/>
      </c>
      <c r="D43" s="52" t="str">
        <f>IF(Calculation!E43=Calculation!$A$144,Calculation!$A$41,"")</f>
        <v/>
      </c>
      <c r="E43" s="52" t="str">
        <f>IF(Calculation!E43=Calculation!$A$144,Calculation!C43,"")</f>
        <v/>
      </c>
      <c r="F43" s="52" t="str">
        <f>IF(Calculation!E43=Calculation!$A$144,Calculation!F43,"")</f>
        <v/>
      </c>
      <c r="G43" s="54" t="str">
        <f>IF(Calculation!E43=Calculation!$A$144,Calculation!G43,"")</f>
        <v/>
      </c>
      <c r="H43" s="54" t="str">
        <f>IF(Calculation!E43=Calculation!$A$144,Calculation!H43,"")</f>
        <v/>
      </c>
      <c r="I43" s="55"/>
    </row>
    <row r="44">
      <c r="A44" s="52" t="str">
        <f>IF(Calculation!E44=Calculation!$A$144,Calculation!B44,"")</f>
        <v/>
      </c>
      <c r="B44" s="53" t="str">
        <f>IF(Calculation!E44=Calculation!$A$144,Calculation!I44,"")</f>
        <v/>
      </c>
      <c r="C44" s="52" t="str">
        <f>IF(Calculation!E44=Calculation!$A$144,Calculation!D44,"")</f>
        <v/>
      </c>
      <c r="D44" s="52" t="str">
        <f>IF(Calculation!E44=Calculation!$A$144,Calculation!$A$41,"")</f>
        <v/>
      </c>
      <c r="E44" s="52" t="str">
        <f>IF(Calculation!E44=Calculation!$A$144,Calculation!C44,"")</f>
        <v/>
      </c>
      <c r="F44" s="52" t="str">
        <f>IF(Calculation!E44=Calculation!$A$144,Calculation!F44,"")</f>
        <v/>
      </c>
      <c r="G44" s="54" t="str">
        <f>IF(Calculation!E44=Calculation!$A$144,Calculation!G44,"")</f>
        <v/>
      </c>
      <c r="H44" s="54" t="str">
        <f>IF(Calculation!E44=Calculation!$A$144,Calculation!H44,"")</f>
        <v/>
      </c>
      <c r="I44" s="55"/>
    </row>
    <row r="45">
      <c r="A45" s="52" t="str">
        <f>IF(Calculation!E45=Calculation!$A$144,Calculation!B45,"")</f>
        <v/>
      </c>
      <c r="B45" s="53" t="str">
        <f>IF(Calculation!E45=Calculation!$A$144,Calculation!I45,"")</f>
        <v/>
      </c>
      <c r="C45" s="52" t="str">
        <f>IF(Calculation!E45=Calculation!$A$144,Calculation!D45,"")</f>
        <v/>
      </c>
      <c r="D45" s="52" t="str">
        <f>IF(Calculation!E45=Calculation!$A$144,Calculation!$A$41,"")</f>
        <v/>
      </c>
      <c r="E45" s="52" t="str">
        <f>IF(Calculation!E45=Calculation!$A$144,Calculation!C45,"")</f>
        <v/>
      </c>
      <c r="F45" s="52" t="str">
        <f>IF(Calculation!E45=Calculation!$A$144,Calculation!F45,"")</f>
        <v/>
      </c>
      <c r="G45" s="54" t="str">
        <f>IF(Calculation!E45=Calculation!$A$144,Calculation!G45,"")</f>
        <v/>
      </c>
      <c r="H45" s="54" t="str">
        <f>IF(Calculation!E45=Calculation!$A$144,Calculation!H45,"")</f>
        <v/>
      </c>
      <c r="I45" s="55"/>
    </row>
    <row r="46">
      <c r="A46" s="52" t="str">
        <f>IF(Calculation!E46=Calculation!$A$144,Calculation!B46,"")</f>
        <v/>
      </c>
      <c r="B46" s="53" t="str">
        <f>IF(Calculation!E46=Calculation!$A$144,Calculation!I46,"")</f>
        <v/>
      </c>
      <c r="C46" s="52" t="str">
        <f>IF(Calculation!E46=Calculation!$A$144,Calculation!D46,"")</f>
        <v/>
      </c>
      <c r="D46" s="52" t="str">
        <f>IF(Calculation!E46=Calculation!$A$144,Calculation!$A$41,"")</f>
        <v/>
      </c>
      <c r="E46" s="52" t="str">
        <f>IF(Calculation!E46=Calculation!$A$144,Calculation!C46,"")</f>
        <v/>
      </c>
      <c r="F46" s="52" t="str">
        <f>IF(Calculation!E46=Calculation!$A$144,Calculation!F46,"")</f>
        <v/>
      </c>
      <c r="G46" s="54" t="str">
        <f>IF(Calculation!E46=Calculation!$A$144,Calculation!G46,"")</f>
        <v/>
      </c>
      <c r="H46" s="54" t="str">
        <f>IF(Calculation!E46=Calculation!$A$144,Calculation!H46,"")</f>
        <v/>
      </c>
      <c r="I46" s="55"/>
    </row>
    <row r="47">
      <c r="A47" s="52" t="str">
        <f>IF(Calculation!E47=Calculation!$A$144,Calculation!B47,"")</f>
        <v/>
      </c>
      <c r="B47" s="53" t="str">
        <f>IF(Calculation!E47=Calculation!$A$144,Calculation!I47,"")</f>
        <v/>
      </c>
      <c r="C47" s="52" t="str">
        <f>IF(Calculation!E47=Calculation!$A$144,Calculation!D47,"")</f>
        <v/>
      </c>
      <c r="D47" s="52" t="str">
        <f>IF(Calculation!E47=Calculation!$A$144,Calculation!$A$41,"")</f>
        <v/>
      </c>
      <c r="E47" s="52" t="str">
        <f>IF(Calculation!E47=Calculation!$A$144,Calculation!C47,"")</f>
        <v/>
      </c>
      <c r="F47" s="52" t="str">
        <f>IF(Calculation!E47=Calculation!$A$144,Calculation!F47,"")</f>
        <v/>
      </c>
      <c r="G47" s="54" t="str">
        <f>IF(Calculation!E47=Calculation!$A$144,Calculation!G47,"")</f>
        <v/>
      </c>
      <c r="H47" s="54" t="str">
        <f>IF(Calculation!E47=Calculation!$A$144,Calculation!H47,"")</f>
        <v/>
      </c>
      <c r="I47" s="55"/>
    </row>
    <row r="48">
      <c r="A48" s="52" t="str">
        <f>IF(Calculation!E48=Calculation!$A$144,Calculation!B48,"")</f>
        <v/>
      </c>
      <c r="B48" s="53" t="str">
        <f>IF(Calculation!E48=Calculation!$A$144,Calculation!I48,"")</f>
        <v/>
      </c>
      <c r="C48" s="52" t="str">
        <f>IF(Calculation!E48=Calculation!$A$144,Calculation!D48,"")</f>
        <v/>
      </c>
      <c r="D48" s="52" t="str">
        <f>IF(Calculation!E48=Calculation!$A$144,Calculation!$A$41,"")</f>
        <v/>
      </c>
      <c r="E48" s="52" t="str">
        <f>IF(Calculation!E48=Calculation!$A$144,Calculation!C48,"")</f>
        <v/>
      </c>
      <c r="F48" s="52" t="str">
        <f>IF(Calculation!E48=Calculation!$A$144,Calculation!F48,"")</f>
        <v/>
      </c>
      <c r="G48" s="54" t="str">
        <f>IF(Calculation!E48=Calculation!$A$144,Calculation!G48,"")</f>
        <v/>
      </c>
      <c r="H48" s="54" t="str">
        <f>IF(Calculation!E48=Calculation!$A$144,Calculation!H48,"")</f>
        <v/>
      </c>
      <c r="I48" s="55"/>
    </row>
    <row r="49">
      <c r="A49" s="52" t="str">
        <f>IF(Calculation!E49=Calculation!$A$144,Calculation!B49,"")</f>
        <v/>
      </c>
      <c r="B49" s="53" t="str">
        <f>IF(Calculation!E49=Calculation!$A$144,Calculation!I49,"")</f>
        <v/>
      </c>
      <c r="C49" s="52" t="str">
        <f>IF(Calculation!E49=Calculation!$A$144,Calculation!D49,"")</f>
        <v/>
      </c>
      <c r="D49" s="52" t="str">
        <f>IF(Calculation!E49=Calculation!$A$144,Calculation!$A$41,"")</f>
        <v/>
      </c>
      <c r="E49" s="52" t="str">
        <f>IF(Calculation!E49=Calculation!$A$144,Calculation!C49,"")</f>
        <v/>
      </c>
      <c r="F49" s="52" t="str">
        <f>IF(Calculation!E49=Calculation!$A$144,Calculation!F49,"")</f>
        <v/>
      </c>
      <c r="G49" s="54" t="str">
        <f>IF(Calculation!E49=Calculation!$A$144,Calculation!G49,"")</f>
        <v/>
      </c>
      <c r="H49" s="54" t="str">
        <f>IF(Calculation!E49=Calculation!$A$144,Calculation!H49,"")</f>
        <v/>
      </c>
      <c r="I49" s="55"/>
    </row>
    <row r="50">
      <c r="A50" s="52" t="str">
        <f>IF(Calculation!E50=Calculation!$A$144,Calculation!B50,"")</f>
        <v/>
      </c>
      <c r="B50" s="53" t="str">
        <f>IF(Calculation!E50=Calculation!$A$144,Calculation!I50,"")</f>
        <v/>
      </c>
      <c r="C50" s="52" t="str">
        <f>IF(Calculation!E50=Calculation!$A$144,Calculation!D50,"")</f>
        <v/>
      </c>
      <c r="D50" s="52" t="str">
        <f>IF(Calculation!E50=Calculation!$A$144,Calculation!$A$41,"")</f>
        <v/>
      </c>
      <c r="E50" s="52" t="str">
        <f>IF(Calculation!E50=Calculation!$A$144,Calculation!C50,"")</f>
        <v/>
      </c>
      <c r="F50" s="52" t="str">
        <f>IF(Calculation!E50=Calculation!$A$144,Calculation!F50,"")</f>
        <v/>
      </c>
      <c r="G50" s="54" t="str">
        <f>IF(Calculation!E50=Calculation!$A$144,Calculation!G50,"")</f>
        <v/>
      </c>
      <c r="H50" s="54" t="str">
        <f>IF(Calculation!E50=Calculation!$A$144,Calculation!H50,"")</f>
        <v/>
      </c>
      <c r="I50" s="55"/>
    </row>
    <row r="51">
      <c r="A51" s="52" t="str">
        <f>IF(Calculation!E51=Calculation!$A$144,Calculation!B51,"")</f>
        <v/>
      </c>
      <c r="B51" s="53" t="str">
        <f>IF(Calculation!E51=Calculation!$A$144,Calculation!I51,"")</f>
        <v/>
      </c>
      <c r="C51" s="52" t="str">
        <f>IF(Calculation!E51=Calculation!$A$144,Calculation!D51,"")</f>
        <v/>
      </c>
      <c r="D51" s="52" t="str">
        <f>IF(Calculation!E51=Calculation!$A$144,Calculation!$A$41,"")</f>
        <v/>
      </c>
      <c r="E51" s="52" t="str">
        <f>IF(Calculation!E51=Calculation!$A$144,Calculation!C51,"")</f>
        <v/>
      </c>
      <c r="F51" s="52" t="str">
        <f>IF(Calculation!E51=Calculation!$A$144,Calculation!F51,"")</f>
        <v/>
      </c>
      <c r="G51" s="54" t="str">
        <f>IF(Calculation!E51=Calculation!$A$144,Calculation!G51,"")</f>
        <v/>
      </c>
      <c r="H51" s="54" t="str">
        <f>IF(Calculation!E51=Calculation!$A$144,Calculation!H51,"")</f>
        <v/>
      </c>
      <c r="I51" s="55"/>
    </row>
    <row r="52">
      <c r="A52" s="52" t="str">
        <f>IF(Calculation!E52=Calculation!$A$144,Calculation!B52,"")</f>
        <v/>
      </c>
      <c r="B52" s="53" t="str">
        <f>IF(Calculation!E52=Calculation!$A$144,Calculation!I52,"")</f>
        <v/>
      </c>
      <c r="C52" s="52" t="str">
        <f>IF(Calculation!E52=Calculation!$A$144,Calculation!D52,"")</f>
        <v/>
      </c>
      <c r="D52" s="52" t="str">
        <f>IF(Calculation!E52=Calculation!$A$144,Calculation!$A$41,"")</f>
        <v/>
      </c>
      <c r="E52" s="52" t="str">
        <f>IF(Calculation!E52=Calculation!$A$144,Calculation!C52,"")</f>
        <v/>
      </c>
      <c r="F52" s="52" t="str">
        <f>IF(Calculation!E52=Calculation!$A$144,Calculation!F52,"")</f>
        <v/>
      </c>
      <c r="G52" s="54" t="str">
        <f>IF(Calculation!E52=Calculation!$A$144,Calculation!G52,"")</f>
        <v/>
      </c>
      <c r="H52" s="54" t="str">
        <f>IF(Calculation!E52=Calculation!$A$144,Calculation!H52,"")</f>
        <v/>
      </c>
      <c r="I52" s="55"/>
    </row>
    <row r="53">
      <c r="A53" s="52" t="str">
        <f>IF(Calculation!E53=Calculation!$A$144,Calculation!B53,"")</f>
        <v/>
      </c>
      <c r="B53" s="53" t="str">
        <f>IF(Calculation!E53=Calculation!$A$144,Calculation!I53,"")</f>
        <v/>
      </c>
      <c r="C53" s="52" t="str">
        <f>IF(Calculation!E53=Calculation!$A$144,Calculation!D53,"")</f>
        <v/>
      </c>
      <c r="D53" s="52" t="str">
        <f>IF(Calculation!E53=Calculation!$A$144,Calculation!$A$41,"")</f>
        <v/>
      </c>
      <c r="E53" s="52" t="str">
        <f>IF(Calculation!E53=Calculation!$A$144,Calculation!C53,"")</f>
        <v/>
      </c>
      <c r="F53" s="52" t="str">
        <f>IF(Calculation!E53=Calculation!$A$144,Calculation!F53,"")</f>
        <v/>
      </c>
      <c r="G53" s="54" t="str">
        <f>IF(Calculation!E53=Calculation!$A$144,Calculation!G53,"")</f>
        <v/>
      </c>
      <c r="H53" s="54" t="str">
        <f>IF(Calculation!E53=Calculation!$A$144,Calculation!H53,"")</f>
        <v/>
      </c>
      <c r="I53" s="55"/>
    </row>
    <row r="54">
      <c r="A54" s="52" t="str">
        <f>IF(Calculation!E54=Calculation!$A$144,Calculation!B54,"")</f>
        <v/>
      </c>
      <c r="B54" s="53" t="str">
        <f>IF(Calculation!E54=Calculation!$A$144,Calculation!I54,"")</f>
        <v/>
      </c>
      <c r="C54" s="52" t="str">
        <f>IF(Calculation!E54=Calculation!$A$144,Calculation!D54,"")</f>
        <v/>
      </c>
      <c r="D54" s="52" t="str">
        <f>IF(Calculation!E54=Calculation!$A$144,Calculation!$A$54,"")</f>
        <v/>
      </c>
      <c r="E54" s="52" t="str">
        <f>IF(Calculation!E54=Calculation!$A$144,Calculation!C54,"")</f>
        <v/>
      </c>
      <c r="F54" s="52" t="str">
        <f>IF(Calculation!E54=Calculation!$A$144,Calculation!F54,"")</f>
        <v/>
      </c>
      <c r="G54" s="54" t="str">
        <f>IF(Calculation!E54=Calculation!$A$144,Calculation!G54,"")</f>
        <v/>
      </c>
      <c r="H54" s="54" t="str">
        <f>IF(Calculation!E54=Calculation!$A$144,Calculation!H54,"")</f>
        <v/>
      </c>
      <c r="I54" s="55"/>
    </row>
    <row r="55">
      <c r="A55" s="52" t="str">
        <f>IF(Calculation!E55=Calculation!$A$144,Calculation!B55,"")</f>
        <v/>
      </c>
      <c r="B55" s="53" t="str">
        <f>IF(Calculation!E55=Calculation!$A$144,Calculation!I55,"")</f>
        <v/>
      </c>
      <c r="C55" s="52" t="str">
        <f>IF(Calculation!E55=Calculation!$A$144,Calculation!D55,"")</f>
        <v/>
      </c>
      <c r="D55" s="52" t="str">
        <f>IF(Calculation!E55=Calculation!$A$144,Calculation!$A$54,"")</f>
        <v/>
      </c>
      <c r="E55" s="52" t="str">
        <f>IF(Calculation!E55=Calculation!$A$144,Calculation!C55,"")</f>
        <v/>
      </c>
      <c r="F55" s="52" t="str">
        <f>IF(Calculation!E55=Calculation!$A$144,Calculation!F55,"")</f>
        <v/>
      </c>
      <c r="G55" s="54" t="str">
        <f>IF(Calculation!E55=Calculation!$A$144,Calculation!G55,"")</f>
        <v/>
      </c>
      <c r="H55" s="54" t="str">
        <f>IF(Calculation!E55=Calculation!$A$144,Calculation!H55,"")</f>
        <v/>
      </c>
      <c r="I55" s="55"/>
    </row>
    <row r="56">
      <c r="A56" s="52" t="str">
        <f>IF(Calculation!E56=Calculation!$A$144,Calculation!B56,"")</f>
        <v/>
      </c>
      <c r="B56" s="53" t="str">
        <f>IF(Calculation!E56=Calculation!$A$144,Calculation!I56,"")</f>
        <v/>
      </c>
      <c r="C56" s="52" t="str">
        <f>IF(Calculation!E56=Calculation!$A$144,Calculation!D56,"")</f>
        <v/>
      </c>
      <c r="D56" s="52" t="str">
        <f>IF(Calculation!E56=Calculation!$A$144,Calculation!$A$54,"")</f>
        <v/>
      </c>
      <c r="E56" s="52" t="str">
        <f>IF(Calculation!E56=Calculation!$A$144,Calculation!C56,"")</f>
        <v/>
      </c>
      <c r="F56" s="52" t="str">
        <f>IF(Calculation!E56=Calculation!$A$144,Calculation!F56,"")</f>
        <v/>
      </c>
      <c r="G56" s="54" t="str">
        <f>IF(Calculation!E56=Calculation!$A$144,Calculation!G56,"")</f>
        <v/>
      </c>
      <c r="H56" s="54" t="str">
        <f>IF(Calculation!E56=Calculation!$A$144,Calculation!H56,"")</f>
        <v/>
      </c>
      <c r="I56" s="55"/>
    </row>
    <row r="57">
      <c r="A57" s="52" t="str">
        <f>IF(Calculation!E57=Calculation!$A$144,Calculation!B57,"")</f>
        <v/>
      </c>
      <c r="B57" s="53" t="str">
        <f>IF(Calculation!E57=Calculation!$A$144,Calculation!I57,"")</f>
        <v/>
      </c>
      <c r="C57" s="52" t="str">
        <f>IF(Calculation!E57=Calculation!$A$144,Calculation!D57,"")</f>
        <v/>
      </c>
      <c r="D57" s="52" t="str">
        <f>IF(Calculation!E57=Calculation!$A$144,Calculation!$A$54,"")</f>
        <v/>
      </c>
      <c r="E57" s="52" t="str">
        <f>IF(Calculation!E57=Calculation!$A$144,Calculation!C57,"")</f>
        <v/>
      </c>
      <c r="F57" s="52" t="str">
        <f>IF(Calculation!E57=Calculation!$A$144,Calculation!F57,"")</f>
        <v/>
      </c>
      <c r="G57" s="54" t="str">
        <f>IF(Calculation!E57=Calculation!$A$144,Calculation!G57,"")</f>
        <v/>
      </c>
      <c r="H57" s="54" t="str">
        <f>IF(Calculation!E57=Calculation!$A$144,Calculation!H57,"")</f>
        <v/>
      </c>
      <c r="I57" s="55"/>
    </row>
    <row r="58">
      <c r="A58" s="52" t="str">
        <f>IF(Calculation!E58=Calculation!$A$144,Calculation!B58,"")</f>
        <v/>
      </c>
      <c r="B58" s="53" t="str">
        <f>IF(Calculation!E58=Calculation!$A$144,Calculation!I58,"")</f>
        <v/>
      </c>
      <c r="C58" s="52" t="str">
        <f>IF(Calculation!E58=Calculation!$A$144,Calculation!D58,"")</f>
        <v/>
      </c>
      <c r="D58" s="52" t="str">
        <f>IF(Calculation!E58=Calculation!$A$144,Calculation!$A$54,"")</f>
        <v/>
      </c>
      <c r="E58" s="52" t="str">
        <f>IF(Calculation!E58=Calculation!$A$144,Calculation!C58,"")</f>
        <v/>
      </c>
      <c r="F58" s="52" t="str">
        <f>IF(Calculation!E58=Calculation!$A$144,Calculation!F58,"")</f>
        <v/>
      </c>
      <c r="G58" s="54" t="str">
        <f>IF(Calculation!E58=Calculation!$A$144,Calculation!G58,"")</f>
        <v/>
      </c>
      <c r="H58" s="54" t="str">
        <f>IF(Calculation!E58=Calculation!$A$144,Calculation!H58,"")</f>
        <v/>
      </c>
      <c r="I58" s="55"/>
    </row>
    <row r="59">
      <c r="A59" s="52" t="str">
        <f>IF(Calculation!E59=Calculation!$A$144,Calculation!B59,"")</f>
        <v/>
      </c>
      <c r="B59" s="53" t="str">
        <f>IF(Calculation!E59=Calculation!$A$144,Calculation!I59,"")</f>
        <v/>
      </c>
      <c r="C59" s="52" t="str">
        <f>IF(Calculation!E59=Calculation!$A$144,Calculation!D59,"")</f>
        <v/>
      </c>
      <c r="D59" s="52" t="str">
        <f>IF(Calculation!E59=Calculation!$A$144,Calculation!$A$54,"")</f>
        <v/>
      </c>
      <c r="E59" s="52" t="str">
        <f>IF(Calculation!E59=Calculation!$A$144,Calculation!C59,"")</f>
        <v/>
      </c>
      <c r="F59" s="52" t="str">
        <f>IF(Calculation!E59=Calculation!$A$144,Calculation!F59,"")</f>
        <v/>
      </c>
      <c r="G59" s="54" t="str">
        <f>IF(Calculation!E59=Calculation!$A$144,Calculation!G59,"")</f>
        <v/>
      </c>
      <c r="H59" s="54" t="str">
        <f>IF(Calculation!E59=Calculation!$A$144,Calculation!H59,"")</f>
        <v/>
      </c>
      <c r="I59" s="55"/>
    </row>
    <row r="60">
      <c r="A60" s="52" t="str">
        <f>IF(Calculation!E60=Calculation!$A$144,Calculation!B60,"")</f>
        <v/>
      </c>
      <c r="B60" s="53" t="str">
        <f>IF(Calculation!E60=Calculation!$A$144,Calculation!I60,"")</f>
        <v/>
      </c>
      <c r="C60" s="52" t="str">
        <f>IF(Calculation!E60=Calculation!$A$144,Calculation!D60,"")</f>
        <v/>
      </c>
      <c r="D60" s="52" t="str">
        <f>IF(Calculation!E60=Calculation!$A$144,Calculation!$A$54,"")</f>
        <v/>
      </c>
      <c r="E60" s="52" t="str">
        <f>IF(Calculation!E60=Calculation!$A$144,Calculation!C60,"")</f>
        <v/>
      </c>
      <c r="F60" s="52" t="str">
        <f>IF(Calculation!E60=Calculation!$A$144,Calculation!F60,"")</f>
        <v/>
      </c>
      <c r="G60" s="54" t="str">
        <f>IF(Calculation!E60=Calculation!$A$144,Calculation!G60,"")</f>
        <v/>
      </c>
      <c r="H60" s="54" t="str">
        <f>IF(Calculation!E60=Calculation!$A$144,Calculation!H60,"")</f>
        <v/>
      </c>
      <c r="I60" s="55"/>
    </row>
    <row r="61">
      <c r="A61" s="52" t="str">
        <f>IF(Calculation!E61=Calculation!$A$144,Calculation!B61,"")</f>
        <v/>
      </c>
      <c r="B61" s="53" t="str">
        <f>IF(Calculation!E61=Calculation!$A$144,Calculation!I61,"")</f>
        <v/>
      </c>
      <c r="C61" s="52" t="str">
        <f>IF(Calculation!E61=Calculation!$A$144,Calculation!D61,"")</f>
        <v/>
      </c>
      <c r="D61" s="52" t="str">
        <f>IF(Calculation!E61=Calculation!$A$144,Calculation!$A$54,"")</f>
        <v/>
      </c>
      <c r="E61" s="52" t="str">
        <f>IF(Calculation!E61=Calculation!$A$144,Calculation!C61,"")</f>
        <v/>
      </c>
      <c r="F61" s="52" t="str">
        <f>IF(Calculation!E61=Calculation!$A$144,Calculation!F61,"")</f>
        <v/>
      </c>
      <c r="G61" s="54" t="str">
        <f>IF(Calculation!E61=Calculation!$A$144,Calculation!G61,"")</f>
        <v/>
      </c>
      <c r="H61" s="54" t="str">
        <f>IF(Calculation!E61=Calculation!$A$144,Calculation!H61,"")</f>
        <v/>
      </c>
      <c r="I61" s="55"/>
    </row>
    <row r="62">
      <c r="A62" s="52" t="str">
        <f>IF(Calculation!E62=Calculation!$A$144,Calculation!B62,"")</f>
        <v/>
      </c>
      <c r="B62" s="53" t="str">
        <f>IF(Calculation!E62=Calculation!$A$144,Calculation!I62,"")</f>
        <v/>
      </c>
      <c r="C62" s="52" t="str">
        <f>IF(Calculation!E62=Calculation!$A$144,Calculation!D62,"")</f>
        <v/>
      </c>
      <c r="D62" s="52" t="str">
        <f>IF(Calculation!E62=Calculation!$A$144,Calculation!$A$54,"")</f>
        <v/>
      </c>
      <c r="E62" s="52" t="str">
        <f>IF(Calculation!E62=Calculation!$A$144,Calculation!C62,"")</f>
        <v/>
      </c>
      <c r="F62" s="52" t="str">
        <f>IF(Calculation!E62=Calculation!$A$144,Calculation!F62,"")</f>
        <v/>
      </c>
      <c r="G62" s="54" t="str">
        <f>IF(Calculation!E62=Calculation!$A$144,Calculation!G62,"")</f>
        <v/>
      </c>
      <c r="H62" s="54" t="str">
        <f>IF(Calculation!E62=Calculation!$A$144,Calculation!H62,"")</f>
        <v/>
      </c>
      <c r="I62" s="55"/>
    </row>
    <row r="63">
      <c r="A63" s="52" t="str">
        <f>IF(Calculation!E63=Calculation!$A$144,Calculation!B63,"")</f>
        <v/>
      </c>
      <c r="B63" s="53" t="str">
        <f>IF(Calculation!E63=Calculation!$A$144,Calculation!I63,"")</f>
        <v/>
      </c>
      <c r="C63" s="52" t="str">
        <f>IF(Calculation!E63=Calculation!$A$144,Calculation!D63,"")</f>
        <v/>
      </c>
      <c r="D63" s="52" t="str">
        <f>IF(Calculation!E63=Calculation!$A$144,Calculation!$A$54,"")</f>
        <v/>
      </c>
      <c r="E63" s="52" t="str">
        <f>IF(Calculation!E63=Calculation!$A$144,Calculation!C63,"")</f>
        <v/>
      </c>
      <c r="F63" s="52" t="str">
        <f>IF(Calculation!E63=Calculation!$A$144,Calculation!F63,"")</f>
        <v/>
      </c>
      <c r="G63" s="54" t="str">
        <f>IF(Calculation!E63=Calculation!$A$144,Calculation!G63,"")</f>
        <v/>
      </c>
      <c r="H63" s="54" t="str">
        <f>IF(Calculation!E63=Calculation!$A$144,Calculation!H63,"")</f>
        <v/>
      </c>
      <c r="I63" s="55"/>
    </row>
    <row r="64">
      <c r="A64" s="52" t="str">
        <f>IF(Calculation!E64=Calculation!$A$144,Calculation!B64,"")</f>
        <v/>
      </c>
      <c r="B64" s="53" t="str">
        <f>IF(Calculation!E64=Calculation!$A$144,Calculation!I64,"")</f>
        <v/>
      </c>
      <c r="C64" s="52" t="str">
        <f>IF(Calculation!E64=Calculation!$A$144,Calculation!D64,"")</f>
        <v/>
      </c>
      <c r="D64" s="52" t="str">
        <f>IF(Calculation!E64=Calculation!$A$144,Calculation!$A$54,"")</f>
        <v/>
      </c>
      <c r="E64" s="52" t="str">
        <f>IF(Calculation!E64=Calculation!$A$144,Calculation!C64,"")</f>
        <v/>
      </c>
      <c r="F64" s="52" t="str">
        <f>IF(Calculation!E64=Calculation!$A$144,Calculation!F64,"")</f>
        <v/>
      </c>
      <c r="G64" s="54" t="str">
        <f>IF(Calculation!E64=Calculation!$A$144,Calculation!G64,"")</f>
        <v/>
      </c>
      <c r="H64" s="54" t="str">
        <f>IF(Calculation!E64=Calculation!$A$144,Calculation!H64,"")</f>
        <v/>
      </c>
      <c r="I64" s="55"/>
    </row>
    <row r="65">
      <c r="A65" s="52" t="str">
        <f>IF(Calculation!E65=Calculation!$A$144,Calculation!B65,"")</f>
        <v/>
      </c>
      <c r="B65" s="53" t="str">
        <f>IF(Calculation!E65=Calculation!$A$144,Calculation!I65,"")</f>
        <v/>
      </c>
      <c r="C65" s="52" t="str">
        <f>IF(Calculation!E65=Calculation!$A$144,Calculation!D65,"")</f>
        <v/>
      </c>
      <c r="D65" s="52" t="str">
        <f>IF(Calculation!E65=Calculation!$A$144,Calculation!$A$54,"")</f>
        <v/>
      </c>
      <c r="E65" s="52" t="str">
        <f>IF(Calculation!E65=Calculation!$A$144,Calculation!C65,"")</f>
        <v/>
      </c>
      <c r="F65" s="52" t="str">
        <f>IF(Calculation!E65=Calculation!$A$144,Calculation!F65,"")</f>
        <v/>
      </c>
      <c r="G65" s="54" t="str">
        <f>IF(Calculation!E65=Calculation!$A$144,Calculation!G65,"")</f>
        <v/>
      </c>
      <c r="H65" s="54" t="str">
        <f>IF(Calculation!E65=Calculation!$A$144,Calculation!H65,"")</f>
        <v/>
      </c>
      <c r="I65" s="55"/>
    </row>
    <row r="66">
      <c r="A66" s="52" t="str">
        <f>IF(Calculation!E66=Calculation!$A$144,Calculation!B66,"")</f>
        <v/>
      </c>
      <c r="B66" s="53" t="str">
        <f>IF(Calculation!E66=Calculation!$A$144,Calculation!I66,"")</f>
        <v/>
      </c>
      <c r="C66" s="52" t="str">
        <f>IF(Calculation!E66=Calculation!$A$144,Calculation!D66,"")</f>
        <v/>
      </c>
      <c r="D66" s="52" t="str">
        <f>IF(Calculation!E66=Calculation!$A$144,Calculation!$A$66,"")</f>
        <v/>
      </c>
      <c r="E66" s="52" t="str">
        <f>IF(Calculation!E66=Calculation!$A$144,Calculation!C66,"")</f>
        <v/>
      </c>
      <c r="F66" s="52" t="str">
        <f>IF(Calculation!E66=Calculation!$A$144,Calculation!F66,"")</f>
        <v/>
      </c>
      <c r="G66" s="54" t="str">
        <f>IF(Calculation!E66=Calculation!$A$144,Calculation!G66,"")</f>
        <v/>
      </c>
      <c r="H66" s="54" t="str">
        <f>IF(Calculation!E66=Calculation!$A$144,Calculation!H66,"")</f>
        <v/>
      </c>
      <c r="I66" s="55"/>
    </row>
    <row r="67">
      <c r="A67" s="52" t="str">
        <f>IF(Calculation!E67=Calculation!$A$144,Calculation!B67,"")</f>
        <v/>
      </c>
      <c r="B67" s="53" t="str">
        <f>IF(Calculation!E67=Calculation!$A$144,Calculation!I67,"")</f>
        <v/>
      </c>
      <c r="C67" s="52" t="str">
        <f>IF(Calculation!E67=Calculation!$A$144,Calculation!D67,"")</f>
        <v/>
      </c>
      <c r="D67" s="52" t="str">
        <f>IF(Calculation!E67=Calculation!$A$144,Calculation!$A$66,"")</f>
        <v/>
      </c>
      <c r="E67" s="52" t="str">
        <f>IF(Calculation!E67=Calculation!$A$144,Calculation!C67,"")</f>
        <v/>
      </c>
      <c r="F67" s="52" t="str">
        <f>IF(Calculation!E67=Calculation!$A$144,Calculation!F67,"")</f>
        <v/>
      </c>
      <c r="G67" s="54" t="str">
        <f>IF(Calculation!E67=Calculation!$A$144,Calculation!G67,"")</f>
        <v/>
      </c>
      <c r="H67" s="54" t="str">
        <f>IF(Calculation!E67=Calculation!$A$144,Calculation!H67,"")</f>
        <v/>
      </c>
      <c r="I67" s="55"/>
    </row>
    <row r="68">
      <c r="A68" s="52" t="str">
        <f>IF(Calculation!E68=Calculation!$A$144,Calculation!B68,"")</f>
        <v/>
      </c>
      <c r="B68" s="53" t="str">
        <f>IF(Calculation!E68=Calculation!$A$144,Calculation!I68,"")</f>
        <v/>
      </c>
      <c r="C68" s="52" t="str">
        <f>IF(Calculation!E68=Calculation!$A$144,Calculation!D68,"")</f>
        <v/>
      </c>
      <c r="D68" s="52" t="str">
        <f>IF(Calculation!E68=Calculation!$A$144,Calculation!$A$66,"")</f>
        <v/>
      </c>
      <c r="E68" s="52" t="str">
        <f>IF(Calculation!E68=Calculation!$A$144,Calculation!C68,"")</f>
        <v/>
      </c>
      <c r="F68" s="52" t="str">
        <f>IF(Calculation!E68=Calculation!$A$144,Calculation!F68,"")</f>
        <v/>
      </c>
      <c r="G68" s="54" t="str">
        <f>IF(Calculation!E68=Calculation!$A$144,Calculation!G68,"")</f>
        <v/>
      </c>
      <c r="H68" s="54" t="str">
        <f>IF(Calculation!E68=Calculation!$A$144,Calculation!H68,"")</f>
        <v/>
      </c>
      <c r="I68" s="55"/>
    </row>
    <row r="69">
      <c r="A69" s="52" t="str">
        <f>IF(Calculation!E69=Calculation!$A$144,Calculation!B69,"")</f>
        <v/>
      </c>
      <c r="B69" s="53" t="str">
        <f>IF(Calculation!E69=Calculation!$A$144,Calculation!I69,"")</f>
        <v/>
      </c>
      <c r="C69" s="52" t="str">
        <f>IF(Calculation!E69=Calculation!$A$144,Calculation!D69,"")</f>
        <v/>
      </c>
      <c r="D69" s="52" t="str">
        <f>IF(Calculation!E69=Calculation!$A$144,Calculation!$A$66,"")</f>
        <v/>
      </c>
      <c r="E69" s="52" t="str">
        <f>IF(Calculation!E69=Calculation!$A$144,Calculation!C69,"")</f>
        <v/>
      </c>
      <c r="F69" s="52" t="str">
        <f>IF(Calculation!E69=Calculation!$A$144,Calculation!F69,"")</f>
        <v/>
      </c>
      <c r="G69" s="54" t="str">
        <f>IF(Calculation!E69=Calculation!$A$144,Calculation!G69,"")</f>
        <v/>
      </c>
      <c r="H69" s="54" t="str">
        <f>IF(Calculation!E69=Calculation!$A$144,Calculation!H69,"")</f>
        <v/>
      </c>
      <c r="I69" s="55"/>
    </row>
    <row r="70">
      <c r="A70" s="52" t="str">
        <f>IF(Calculation!E70=Calculation!$A$144,Calculation!B70,"")</f>
        <v/>
      </c>
      <c r="B70" s="53" t="str">
        <f>IF(Calculation!E70=Calculation!$A$144,Calculation!I70,"")</f>
        <v/>
      </c>
      <c r="C70" s="52" t="str">
        <f>IF(Calculation!E70=Calculation!$A$144,Calculation!D70,"")</f>
        <v/>
      </c>
      <c r="D70" s="52" t="str">
        <f>IF(Calculation!E70=Calculation!$A$144,Calculation!$A$66,"")</f>
        <v/>
      </c>
      <c r="E70" s="52" t="str">
        <f>IF(Calculation!E70=Calculation!$A$144,Calculation!C70,"")</f>
        <v/>
      </c>
      <c r="F70" s="52" t="str">
        <f>IF(Calculation!E70=Calculation!$A$144,Calculation!F70,"")</f>
        <v/>
      </c>
      <c r="G70" s="54" t="str">
        <f>IF(Calculation!E70=Calculation!$A$144,Calculation!G70,"")</f>
        <v/>
      </c>
      <c r="H70" s="54" t="str">
        <f>IF(Calculation!E70=Calculation!$A$144,Calculation!H70,"")</f>
        <v/>
      </c>
      <c r="I70" s="55"/>
    </row>
    <row r="71">
      <c r="A71" s="52" t="str">
        <f>IF(Calculation!E71=Calculation!$A$144,Calculation!B71,"")</f>
        <v/>
      </c>
      <c r="B71" s="53" t="str">
        <f>IF(Calculation!E71=Calculation!$A$144,Calculation!I71,"")</f>
        <v/>
      </c>
      <c r="C71" s="52" t="str">
        <f>IF(Calculation!E71=Calculation!$A$144,Calculation!D71,"")</f>
        <v/>
      </c>
      <c r="D71" s="52" t="str">
        <f>IF(Calculation!E71=Calculation!$A$144,Calculation!$A$66,"")</f>
        <v/>
      </c>
      <c r="E71" s="52" t="str">
        <f>IF(Calculation!E71=Calculation!$A$144,Calculation!C71,"")</f>
        <v/>
      </c>
      <c r="F71" s="52" t="str">
        <f>IF(Calculation!E71=Calculation!$A$144,Calculation!F71,"")</f>
        <v/>
      </c>
      <c r="G71" s="54" t="str">
        <f>IF(Calculation!E71=Calculation!$A$144,Calculation!G71,"")</f>
        <v/>
      </c>
      <c r="H71" s="54" t="str">
        <f>IF(Calculation!E71=Calculation!$A$144,Calculation!H71,"")</f>
        <v/>
      </c>
      <c r="I71" s="55"/>
    </row>
    <row r="72">
      <c r="A72" s="52" t="str">
        <f>IF(Calculation!E72=Calculation!$A$144,Calculation!B72,"")</f>
        <v/>
      </c>
      <c r="B72" s="53" t="str">
        <f>IF(Calculation!E72=Calculation!$A$144,Calculation!I72,"")</f>
        <v/>
      </c>
      <c r="C72" s="52" t="str">
        <f>IF(Calculation!E72=Calculation!$A$144,Calculation!D72,"")</f>
        <v/>
      </c>
      <c r="D72" s="52" t="str">
        <f>IF(Calculation!E72=Calculation!$A$144,Calculation!$A$66,"")</f>
        <v/>
      </c>
      <c r="E72" s="52" t="str">
        <f>IF(Calculation!E72=Calculation!$A$144,Calculation!C72,"")</f>
        <v/>
      </c>
      <c r="F72" s="52" t="str">
        <f>IF(Calculation!E72=Calculation!$A$144,Calculation!F72,"")</f>
        <v/>
      </c>
      <c r="G72" s="54" t="str">
        <f>IF(Calculation!E72=Calculation!$A$144,Calculation!G72,"")</f>
        <v/>
      </c>
      <c r="H72" s="54" t="str">
        <f>IF(Calculation!E72=Calculation!$A$144,Calculation!H72,"")</f>
        <v/>
      </c>
      <c r="I72" s="55"/>
    </row>
    <row r="73">
      <c r="A73" s="52" t="str">
        <f>IF(Calculation!E73=Calculation!$A$144,Calculation!B73,"")</f>
        <v/>
      </c>
      <c r="B73" s="53" t="str">
        <f>IF(Calculation!E73=Calculation!$A$144,Calculation!I73,"")</f>
        <v/>
      </c>
      <c r="C73" s="52" t="str">
        <f>IF(Calculation!E73=Calculation!$A$144,Calculation!D73,"")</f>
        <v/>
      </c>
      <c r="D73" s="52" t="str">
        <f>IF(Calculation!E73=Calculation!$A$144,Calculation!$A$66,"")</f>
        <v/>
      </c>
      <c r="E73" s="52" t="str">
        <f>IF(Calculation!E73=Calculation!$A$144,Calculation!C73,"")</f>
        <v/>
      </c>
      <c r="F73" s="52" t="str">
        <f>IF(Calculation!E73=Calculation!$A$144,Calculation!F73,"")</f>
        <v/>
      </c>
      <c r="G73" s="54" t="str">
        <f>IF(Calculation!E73=Calculation!$A$144,Calculation!G73,"")</f>
        <v/>
      </c>
      <c r="H73" s="54" t="str">
        <f>IF(Calculation!E73=Calculation!$A$144,Calculation!H73,"")</f>
        <v/>
      </c>
      <c r="I73" s="55"/>
    </row>
    <row r="74">
      <c r="A74" s="52" t="str">
        <f>IF(Calculation!E74=Calculation!$A$144,Calculation!B74,"")</f>
        <v/>
      </c>
      <c r="B74" s="53" t="str">
        <f>IF(Calculation!E74=Calculation!$A$144,Calculation!I74,"")</f>
        <v/>
      </c>
      <c r="C74" s="52" t="str">
        <f>IF(Calculation!E74=Calculation!$A$144,Calculation!D74,"")</f>
        <v/>
      </c>
      <c r="D74" s="52" t="str">
        <f>IF(Calculation!E74=Calculation!$A$144,Calculation!$A$66,"")</f>
        <v/>
      </c>
      <c r="E74" s="52" t="str">
        <f>IF(Calculation!E74=Calculation!$A$144,Calculation!C74,"")</f>
        <v/>
      </c>
      <c r="F74" s="52" t="str">
        <f>IF(Calculation!E74=Calculation!$A$144,Calculation!F74,"")</f>
        <v/>
      </c>
      <c r="G74" s="54" t="str">
        <f>IF(Calculation!E74=Calculation!$A$144,Calculation!G74,"")</f>
        <v/>
      </c>
      <c r="H74" s="54" t="str">
        <f>IF(Calculation!E74=Calculation!$A$144,Calculation!H74,"")</f>
        <v/>
      </c>
      <c r="I74" s="55"/>
    </row>
    <row r="75">
      <c r="A75" s="52" t="str">
        <f>IF(Calculation!E75=Calculation!$A$144,Calculation!B75,"")</f>
        <v/>
      </c>
      <c r="B75" s="53" t="str">
        <f>IF(Calculation!E75=Calculation!$A$144,Calculation!I75,"")</f>
        <v/>
      </c>
      <c r="C75" s="52" t="str">
        <f>IF(Calculation!E75=Calculation!$A$144,Calculation!D75,"")</f>
        <v/>
      </c>
      <c r="D75" s="52" t="str">
        <f>IF(Calculation!E75=Calculation!$A$144,Calculation!$A$66,"")</f>
        <v/>
      </c>
      <c r="E75" s="52" t="str">
        <f>IF(Calculation!E75=Calculation!$A$144,Calculation!C75,"")</f>
        <v/>
      </c>
      <c r="F75" s="52" t="str">
        <f>IF(Calculation!E75=Calculation!$A$144,Calculation!F75,"")</f>
        <v/>
      </c>
      <c r="G75" s="54" t="str">
        <f>IF(Calculation!E75=Calculation!$A$144,Calculation!G75,"")</f>
        <v/>
      </c>
      <c r="H75" s="54" t="str">
        <f>IF(Calculation!E75=Calculation!$A$144,Calculation!H75,"")</f>
        <v/>
      </c>
      <c r="I75" s="55"/>
    </row>
    <row r="76">
      <c r="A76" s="52" t="str">
        <f>IF(Calculation!E76=Calculation!$A$144,Calculation!B76,"")</f>
        <v/>
      </c>
      <c r="B76" s="53" t="str">
        <f>IF(Calculation!E76=Calculation!$A$144,Calculation!I76,"")</f>
        <v/>
      </c>
      <c r="C76" s="52" t="str">
        <f>IF(Calculation!E76=Calculation!$A$144,Calculation!D76,"")</f>
        <v/>
      </c>
      <c r="D76" s="52" t="str">
        <f>IF(Calculation!E76=Calculation!$A$144,Calculation!$A$66,"")</f>
        <v/>
      </c>
      <c r="E76" s="52" t="str">
        <f>IF(Calculation!E76=Calculation!$A$144,Calculation!C76,"")</f>
        <v/>
      </c>
      <c r="F76" s="52" t="str">
        <f>IF(Calculation!E76=Calculation!$A$144,Calculation!F76,"")</f>
        <v/>
      </c>
      <c r="G76" s="54" t="str">
        <f>IF(Calculation!E76=Calculation!$A$144,Calculation!G76,"")</f>
        <v/>
      </c>
      <c r="H76" s="54" t="str">
        <f>IF(Calculation!E76=Calculation!$A$144,Calculation!H76,"")</f>
        <v/>
      </c>
      <c r="I76" s="55"/>
    </row>
    <row r="77" ht="22.5" customHeight="1">
      <c r="A77" s="52" t="str">
        <f>IF(Calculation!E77=Calculation!$A$144,Calculation!B77,"")</f>
        <v/>
      </c>
      <c r="B77" s="53" t="str">
        <f>IF(Calculation!E77=Calculation!$A$144,Calculation!I77,"")</f>
        <v/>
      </c>
      <c r="C77" s="52" t="str">
        <f>IF(Calculation!E77=Calculation!$A$144,Calculation!D77,"")</f>
        <v/>
      </c>
      <c r="D77" s="52" t="str">
        <f>IF(Calculation!E77=Calculation!$A$144,Calculation!$A$66,"")</f>
        <v/>
      </c>
      <c r="E77" s="52" t="str">
        <f>IF(Calculation!E77=Calculation!$A$144,Calculation!C77,"")</f>
        <v/>
      </c>
      <c r="F77" s="52" t="str">
        <f>IF(Calculation!E77=Calculation!$A$144,Calculation!F77,"")</f>
        <v/>
      </c>
      <c r="G77" s="54" t="str">
        <f>IF(Calculation!E77=Calculation!$A$144,Calculation!G77,"")</f>
        <v/>
      </c>
      <c r="H77" s="54" t="str">
        <f>IF(Calculation!E77=Calculation!$A$144,Calculation!H77,"")</f>
        <v/>
      </c>
      <c r="I77" s="55"/>
    </row>
    <row r="78" ht="21.75" customHeight="1">
      <c r="A78" s="52" t="str">
        <f>IF(Calculation!E78=Calculation!$A$144,Calculation!B78,"")</f>
        <v/>
      </c>
      <c r="B78" s="53" t="str">
        <f>IF(Calculation!E78=Calculation!$A$144,Calculation!I78,"")</f>
        <v/>
      </c>
      <c r="C78" s="52" t="str">
        <f>IF(Calculation!E78=Calculation!$A$144,Calculation!D78,"")</f>
        <v/>
      </c>
      <c r="D78" s="52" t="str">
        <f>IF(Calculation!E78=Calculation!$A$144,Calculation!$A$66,"")</f>
        <v/>
      </c>
      <c r="E78" s="52" t="str">
        <f>IF(Calculation!E78=Calculation!$A$144,Calculation!C78,"")</f>
        <v/>
      </c>
      <c r="F78" s="52" t="str">
        <f>IF(Calculation!E78=Calculation!$A$144,Calculation!F78,"")</f>
        <v/>
      </c>
      <c r="G78" s="54" t="str">
        <f>IF(Calculation!E78=Calculation!$A$144,Calculation!G78,"")</f>
        <v/>
      </c>
      <c r="H78" s="54" t="str">
        <f>IF(Calculation!E78=Calculation!$A$144,Calculation!H78,"")</f>
        <v/>
      </c>
      <c r="I78" s="55"/>
    </row>
    <row r="79" ht="24.0" customHeight="1">
      <c r="A79" s="52" t="str">
        <f>IF(Calculation!E79=Calculation!$A$144,Calculation!B79,"")</f>
        <v/>
      </c>
      <c r="B79" s="53" t="str">
        <f>IF(Calculation!E79=Calculation!$A$144,Calculation!I79,"")</f>
        <v/>
      </c>
      <c r="C79" s="52" t="str">
        <f>IF(Calculation!E79=Calculation!$A$144,Calculation!D79,"")</f>
        <v/>
      </c>
      <c r="D79" s="52" t="str">
        <f>IF(Calculation!E79=Calculation!$A$144,Calculation!$A$79,"")</f>
        <v/>
      </c>
      <c r="E79" s="52" t="str">
        <f>IF(Calculation!E79=Calculation!$A$144,Calculation!C79,"")</f>
        <v/>
      </c>
      <c r="F79" s="52" t="str">
        <f>IF(Calculation!E79=Calculation!$A$144,Calculation!F79,"")</f>
        <v/>
      </c>
      <c r="G79" s="54" t="str">
        <f>IF(Calculation!E79=Calculation!$A$144,Calculation!G79,"")</f>
        <v/>
      </c>
      <c r="H79" s="54" t="str">
        <f>IF(Calculation!E79=Calculation!$A$144,Calculation!H79,"")</f>
        <v/>
      </c>
      <c r="I79" s="55"/>
    </row>
    <row r="80" ht="21.75" customHeight="1">
      <c r="A80" s="52" t="str">
        <f>IF(Calculation!E80=Calculation!$A$144,Calculation!B80,"")</f>
        <v/>
      </c>
      <c r="B80" s="53" t="str">
        <f>IF(Calculation!E80=Calculation!$A$144,Calculation!I80,"")</f>
        <v/>
      </c>
      <c r="C80" s="52" t="str">
        <f>IF(Calculation!E80=Calculation!$A$144,Calculation!D80,"")</f>
        <v/>
      </c>
      <c r="D80" s="52" t="str">
        <f>IF(Calculation!E80=Calculation!$A$144,Calculation!$A$79,"")</f>
        <v/>
      </c>
      <c r="E80" s="52" t="str">
        <f>IF(Calculation!E80=Calculation!$A$144,Calculation!C80,"")</f>
        <v/>
      </c>
      <c r="F80" s="52" t="str">
        <f>IF(Calculation!E80=Calculation!$A$144,Calculation!F80,"")</f>
        <v/>
      </c>
      <c r="G80" s="54" t="str">
        <f>IF(Calculation!E80=Calculation!$A$144,Calculation!G80,"")</f>
        <v/>
      </c>
      <c r="H80" s="54" t="str">
        <f>IF(Calculation!E80=Calculation!$A$144,Calculation!H80,"")</f>
        <v/>
      </c>
      <c r="I80" s="55"/>
    </row>
    <row r="81" ht="20.25" customHeight="1">
      <c r="A81" s="52" t="str">
        <f>IF(Calculation!E81=Calculation!$A$144,Calculation!B81,"")</f>
        <v/>
      </c>
      <c r="B81" s="53" t="str">
        <f>IF(Calculation!E81=Calculation!$A$144,Calculation!I81,"")</f>
        <v/>
      </c>
      <c r="C81" s="52" t="str">
        <f>IF(Calculation!E81=Calculation!$A$144,Calculation!D81,"")</f>
        <v/>
      </c>
      <c r="D81" s="52" t="str">
        <f>IF(Calculation!E81=Calculation!$A$144,Calculation!$A$79,"")</f>
        <v/>
      </c>
      <c r="E81" s="52" t="str">
        <f>IF(Calculation!E81=Calculation!$A$144,Calculation!C81,"")</f>
        <v/>
      </c>
      <c r="F81" s="52" t="str">
        <f>IF(Calculation!E81=Calculation!$A$144,Calculation!F81,"")</f>
        <v/>
      </c>
      <c r="G81" s="54" t="str">
        <f>IF(Calculation!E81=Calculation!$A$144,Calculation!G81,"")</f>
        <v/>
      </c>
      <c r="H81" s="54" t="str">
        <f>IF(Calculation!E81=Calculation!$A$144,Calculation!H81,"")</f>
        <v/>
      </c>
      <c r="I81" s="55"/>
    </row>
    <row r="82">
      <c r="A82" s="52" t="str">
        <f>IF(Calculation!E82=Calculation!$A$144,Calculation!B82,"")</f>
        <v/>
      </c>
      <c r="B82" s="53" t="str">
        <f>IF(Calculation!E82=Calculation!$A$144,Calculation!I82,"")</f>
        <v/>
      </c>
      <c r="C82" s="52" t="str">
        <f>IF(Calculation!E82=Calculation!$A$144,Calculation!D82,"")</f>
        <v/>
      </c>
      <c r="D82" s="52" t="str">
        <f>IF(Calculation!E82=Calculation!$A$144,Calculation!$A$79,"")</f>
        <v/>
      </c>
      <c r="E82" s="52" t="str">
        <f>IF(Calculation!E82=Calculation!$A$144,Calculation!C82,"")</f>
        <v/>
      </c>
      <c r="F82" s="52" t="str">
        <f>IF(Calculation!E82=Calculation!$A$144,Calculation!F82,"")</f>
        <v/>
      </c>
      <c r="G82" s="54" t="str">
        <f>IF(Calculation!E82=Calculation!$A$144,Calculation!G82,"")</f>
        <v/>
      </c>
      <c r="H82" s="54" t="str">
        <f>IF(Calculation!E82=Calculation!$A$144,Calculation!H82,"")</f>
        <v/>
      </c>
      <c r="I82" s="55"/>
    </row>
    <row r="83">
      <c r="A83" s="52" t="str">
        <f>IF(Calculation!E83=Calculation!$A$144,Calculation!B83,"")</f>
        <v/>
      </c>
      <c r="B83" s="53" t="str">
        <f>IF(Calculation!E83=Calculation!$A$144,Calculation!I83,"")</f>
        <v/>
      </c>
      <c r="C83" s="52" t="str">
        <f>IF(Calculation!E83=Calculation!$A$144,Calculation!D83,"")</f>
        <v/>
      </c>
      <c r="D83" s="52" t="str">
        <f>IF(Calculation!E83=Calculation!$A$144,Calculation!$A$79,"")</f>
        <v/>
      </c>
      <c r="E83" s="52" t="str">
        <f>IF(Calculation!E83=Calculation!$A$144,Calculation!C83,"")</f>
        <v/>
      </c>
      <c r="F83" s="52" t="str">
        <f>IF(Calculation!E83=Calculation!$A$144,Calculation!F83,"")</f>
        <v/>
      </c>
      <c r="G83" s="54" t="str">
        <f>IF(Calculation!E83=Calculation!$A$144,Calculation!G83,"")</f>
        <v/>
      </c>
      <c r="H83" s="54" t="str">
        <f>IF(Calculation!E83=Calculation!$A$144,Calculation!H83,"")</f>
        <v/>
      </c>
      <c r="I83" s="55"/>
    </row>
    <row r="84">
      <c r="A84" s="52" t="str">
        <f>IF(Calculation!E84=Calculation!$A$144,Calculation!B84,"")</f>
        <v/>
      </c>
      <c r="B84" s="53" t="str">
        <f>IF(Calculation!E84=Calculation!$A$144,Calculation!I84,"")</f>
        <v/>
      </c>
      <c r="C84" s="52" t="str">
        <f>IF(Calculation!E84=Calculation!$A$144,Calculation!D84,"")</f>
        <v/>
      </c>
      <c r="D84" s="52" t="str">
        <f>IF(Calculation!E84=Calculation!$A$144,Calculation!$A$79,"")</f>
        <v/>
      </c>
      <c r="E84" s="52" t="str">
        <f>IF(Calculation!E84=Calculation!$A$144,Calculation!C84,"")</f>
        <v/>
      </c>
      <c r="F84" s="52" t="str">
        <f>IF(Calculation!E84=Calculation!$A$144,Calculation!F84,"")</f>
        <v/>
      </c>
      <c r="G84" s="54" t="str">
        <f>IF(Calculation!E84=Calculation!$A$144,Calculation!G84,"")</f>
        <v/>
      </c>
      <c r="H84" s="54" t="str">
        <f>IF(Calculation!E84=Calculation!$A$144,Calculation!H84,"")</f>
        <v/>
      </c>
      <c r="I84" s="55"/>
    </row>
    <row r="85">
      <c r="A85" s="52" t="str">
        <f>IF(Calculation!E85=Calculation!$A$144,Calculation!B85,"")</f>
        <v/>
      </c>
      <c r="B85" s="53" t="str">
        <f>IF(Calculation!E85=Calculation!$A$144,Calculation!I85,"")</f>
        <v/>
      </c>
      <c r="C85" s="52" t="str">
        <f>IF(Calculation!E85=Calculation!$A$144,Calculation!D85,"")</f>
        <v/>
      </c>
      <c r="D85" s="52" t="str">
        <f>IF(Calculation!E85=Calculation!$A$144,Calculation!$A$79,"")</f>
        <v/>
      </c>
      <c r="E85" s="52" t="str">
        <f>IF(Calculation!E85=Calculation!$A$144,Calculation!C85,"")</f>
        <v/>
      </c>
      <c r="F85" s="52" t="str">
        <f>IF(Calculation!E85=Calculation!$A$144,Calculation!F85,"")</f>
        <v/>
      </c>
      <c r="G85" s="54" t="str">
        <f>IF(Calculation!E85=Calculation!$A$144,Calculation!G85,"")</f>
        <v/>
      </c>
      <c r="H85" s="54" t="str">
        <f>IF(Calculation!E85=Calculation!$A$144,Calculation!H85,"")</f>
        <v/>
      </c>
      <c r="I85" s="55"/>
    </row>
    <row r="86">
      <c r="A86" s="52" t="str">
        <f>IF(Calculation!E86=Calculation!$A$144,Calculation!B86,"")</f>
        <v/>
      </c>
      <c r="B86" s="53" t="str">
        <f>IF(Calculation!E86=Calculation!$A$144,Calculation!I86,"")</f>
        <v/>
      </c>
      <c r="C86" s="52" t="str">
        <f>IF(Calculation!E86=Calculation!$A$144,Calculation!D86,"")</f>
        <v/>
      </c>
      <c r="D86" s="52" t="str">
        <f>IF(Calculation!E86=Calculation!$A$144,Calculation!$A$79,"")</f>
        <v/>
      </c>
      <c r="E86" s="52" t="str">
        <f>IF(Calculation!E86=Calculation!$A$144,Calculation!C86,"")</f>
        <v/>
      </c>
      <c r="F86" s="52" t="str">
        <f>IF(Calculation!E86=Calculation!$A$144,Calculation!F86,"")</f>
        <v/>
      </c>
      <c r="G86" s="54" t="str">
        <f>IF(Calculation!E86=Calculation!$A$144,Calculation!G86,"")</f>
        <v/>
      </c>
      <c r="H86" s="54" t="str">
        <f>IF(Calculation!E86=Calculation!$A$144,Calculation!H86,"")</f>
        <v/>
      </c>
      <c r="I86" s="55"/>
    </row>
    <row r="87">
      <c r="A87" s="52" t="str">
        <f>IF(Calculation!E87=Calculation!$A$144,Calculation!B87,"")</f>
        <v/>
      </c>
      <c r="B87" s="53" t="str">
        <f>IF(Calculation!E87=Calculation!$A$144,Calculation!I87,"")</f>
        <v/>
      </c>
      <c r="C87" s="52" t="str">
        <f>IF(Calculation!E87=Calculation!$A$144,Calculation!D87,"")</f>
        <v/>
      </c>
      <c r="D87" s="52" t="str">
        <f>IF(Calculation!E87=Calculation!$A$144,Calculation!$A$79,"")</f>
        <v/>
      </c>
      <c r="E87" s="52" t="str">
        <f>IF(Calculation!E87=Calculation!$A$144,Calculation!C87,"")</f>
        <v/>
      </c>
      <c r="F87" s="52" t="str">
        <f>IF(Calculation!E87=Calculation!$A$144,Calculation!F87,"")</f>
        <v/>
      </c>
      <c r="G87" s="54" t="str">
        <f>IF(Calculation!E87=Calculation!$A$144,Calculation!G87,"")</f>
        <v/>
      </c>
      <c r="H87" s="54" t="str">
        <f>IF(Calculation!E87=Calculation!$A$144,Calculation!H87,"")</f>
        <v/>
      </c>
      <c r="I87" s="55"/>
    </row>
    <row r="88">
      <c r="A88" s="52" t="str">
        <f>IF(Calculation!E88=Calculation!$A$144,Calculation!B88,"")</f>
        <v/>
      </c>
      <c r="B88" s="53" t="str">
        <f>IF(Calculation!E88=Calculation!$A$144,Calculation!I88,"")</f>
        <v/>
      </c>
      <c r="C88" s="52" t="str">
        <f>IF(Calculation!E88=Calculation!$A$144,Calculation!D88,"")</f>
        <v/>
      </c>
      <c r="D88" s="52" t="str">
        <f>IF(Calculation!E88=Calculation!$A$144,Calculation!$A$79,"")</f>
        <v/>
      </c>
      <c r="E88" s="52" t="str">
        <f>IF(Calculation!E88=Calculation!$A$144,Calculation!C88,"")</f>
        <v/>
      </c>
      <c r="F88" s="52" t="str">
        <f>IF(Calculation!E88=Calculation!$A$144,Calculation!F88,"")</f>
        <v/>
      </c>
      <c r="G88" s="54" t="str">
        <f>IF(Calculation!E88=Calculation!$A$144,Calculation!G88,"")</f>
        <v/>
      </c>
      <c r="H88" s="54" t="str">
        <f>IF(Calculation!E88=Calculation!$A$144,Calculation!H88,"")</f>
        <v/>
      </c>
      <c r="I88" s="55"/>
    </row>
    <row r="89">
      <c r="A89" s="52" t="str">
        <f>IF(Calculation!E89=Calculation!$A$144,Calculation!B89,"")</f>
        <v/>
      </c>
      <c r="B89" s="53" t="str">
        <f>IF(Calculation!E89=Calculation!$A$144,Calculation!I89,"")</f>
        <v/>
      </c>
      <c r="C89" s="52" t="str">
        <f>IF(Calculation!E89=Calculation!$A$144,Calculation!D89,"")</f>
        <v/>
      </c>
      <c r="D89" s="52" t="str">
        <f>IF(Calculation!E89=Calculation!$A$144,Calculation!$A$79,"")</f>
        <v/>
      </c>
      <c r="E89" s="52" t="str">
        <f>IF(Calculation!E89=Calculation!$A$144,Calculation!C89,"")</f>
        <v/>
      </c>
      <c r="F89" s="52" t="str">
        <f>IF(Calculation!E89=Calculation!$A$144,Calculation!F89,"")</f>
        <v/>
      </c>
      <c r="G89" s="54" t="str">
        <f>IF(Calculation!E89=Calculation!$A$144,Calculation!G89,"")</f>
        <v/>
      </c>
      <c r="H89" s="54" t="str">
        <f>IF(Calculation!E89=Calculation!$A$144,Calculation!H89,"")</f>
        <v/>
      </c>
      <c r="I89" s="55"/>
    </row>
    <row r="90">
      <c r="A90" s="52" t="str">
        <f>IF(Calculation!E90=Calculation!$A$144,Calculation!B90,"")</f>
        <v/>
      </c>
      <c r="B90" s="53" t="str">
        <f>IF(Calculation!E90=Calculation!$A$144,Calculation!I90,"")</f>
        <v/>
      </c>
      <c r="C90" s="52" t="str">
        <f>IF(Calculation!E90=Calculation!$A$144,Calculation!D90,"")</f>
        <v/>
      </c>
      <c r="D90" s="52" t="str">
        <f>IF(Calculation!E90=Calculation!$A$144,Calculation!$A$79,"")</f>
        <v/>
      </c>
      <c r="E90" s="52" t="str">
        <f>IF(Calculation!E90=Calculation!$A$144,Calculation!C90,"")</f>
        <v/>
      </c>
      <c r="F90" s="52" t="str">
        <f>IF(Calculation!E90=Calculation!$A$144,Calculation!F90,"")</f>
        <v/>
      </c>
      <c r="G90" s="54" t="str">
        <f>IF(Calculation!E90=Calculation!$A$144,Calculation!G90,"")</f>
        <v/>
      </c>
      <c r="H90" s="54" t="str">
        <f>IF(Calculation!E90=Calculation!$A$144,Calculation!H90,"")</f>
        <v/>
      </c>
      <c r="I90" s="55"/>
    </row>
    <row r="91">
      <c r="A91" s="52" t="str">
        <f>IF(Calculation!E91=Calculation!$A$144,Calculation!B91,"")</f>
        <v/>
      </c>
      <c r="B91" s="53" t="str">
        <f>IF(Calculation!E91=Calculation!$A$144,Calculation!I91,"")</f>
        <v/>
      </c>
      <c r="C91" s="52" t="str">
        <f>IF(Calculation!E91=Calculation!$A$144,Calculation!D91,"")</f>
        <v/>
      </c>
      <c r="D91" s="52" t="str">
        <f>IF(Calculation!E91=Calculation!$A$144,Calculation!$A$79,"")</f>
        <v/>
      </c>
      <c r="E91" s="52" t="str">
        <f>IF(Calculation!E91=Calculation!$A$144,Calculation!C91,"")</f>
        <v/>
      </c>
      <c r="F91" s="52" t="str">
        <f>IF(Calculation!E91=Calculation!$A$144,Calculation!F91,"")</f>
        <v/>
      </c>
      <c r="G91" s="54" t="str">
        <f>IF(Calculation!E91=Calculation!$A$144,Calculation!G91,"")</f>
        <v/>
      </c>
      <c r="H91" s="54" t="str">
        <f>IF(Calculation!E91=Calculation!$A$144,Calculation!H91,"")</f>
        <v/>
      </c>
      <c r="I91" s="55"/>
    </row>
    <row r="92">
      <c r="A92" s="52" t="str">
        <f>IF(Calculation!E92=Calculation!$A$144,Calculation!B92,"")</f>
        <v/>
      </c>
      <c r="B92" s="53" t="str">
        <f>IF(Calculation!E92=Calculation!$A$144,Calculation!I92,"")</f>
        <v/>
      </c>
      <c r="C92" s="52" t="str">
        <f>IF(Calculation!E92=Calculation!$A$144,Calculation!D92,"")</f>
        <v/>
      </c>
      <c r="D92" s="52" t="str">
        <f>IF(Calculation!E92=Calculation!$A$144,Calculation!$A$92,"")</f>
        <v/>
      </c>
      <c r="E92" s="52" t="str">
        <f>IF(Calculation!E92=Calculation!$A$144,Calculation!C92,"")</f>
        <v/>
      </c>
      <c r="F92" s="52" t="str">
        <f>IF(Calculation!E92=Calculation!$A$144,Calculation!F92,"")</f>
        <v/>
      </c>
      <c r="G92" s="54" t="str">
        <f>IF(Calculation!E92=Calculation!$A$144,Calculation!G92,"")</f>
        <v/>
      </c>
      <c r="H92" s="54" t="str">
        <f>IF(Calculation!E92=Calculation!$A$144,Calculation!H92,"")</f>
        <v/>
      </c>
      <c r="I92" s="55"/>
    </row>
    <row r="93">
      <c r="A93" s="52" t="str">
        <f>IF(Calculation!E93=Calculation!$A$144,Calculation!B93,"")</f>
        <v/>
      </c>
      <c r="B93" s="53" t="str">
        <f>IF(Calculation!E93=Calculation!$A$144,Calculation!I93,"")</f>
        <v/>
      </c>
      <c r="C93" s="52" t="str">
        <f>IF(Calculation!E93=Calculation!$A$144,Calculation!D93,"")</f>
        <v/>
      </c>
      <c r="D93" s="52" t="str">
        <f>IF(Calculation!E93=Calculation!$A$144,Calculation!$A$92,"")</f>
        <v/>
      </c>
      <c r="E93" s="52" t="str">
        <f>IF(Calculation!E93=Calculation!$A$144,Calculation!C93,"")</f>
        <v/>
      </c>
      <c r="F93" s="52" t="str">
        <f>IF(Calculation!E93=Calculation!$A$144,Calculation!F93,"")</f>
        <v/>
      </c>
      <c r="G93" s="54" t="str">
        <f>IF(Calculation!E93=Calculation!$A$144,Calculation!G93,"")</f>
        <v/>
      </c>
      <c r="H93" s="54" t="str">
        <f>IF(Calculation!E93=Calculation!$A$144,Calculation!H93,"")</f>
        <v/>
      </c>
      <c r="I93" s="55"/>
    </row>
    <row r="94">
      <c r="A94" s="52" t="str">
        <f>IF(Calculation!E94=Calculation!$A$144,Calculation!B94,"")</f>
        <v/>
      </c>
      <c r="B94" s="53" t="str">
        <f>IF(Calculation!E94=Calculation!$A$144,Calculation!I94,"")</f>
        <v/>
      </c>
      <c r="C94" s="52" t="str">
        <f>IF(Calculation!E94=Calculation!$A$144,Calculation!D94,"")</f>
        <v/>
      </c>
      <c r="D94" s="52" t="str">
        <f>IF(Calculation!E94=Calculation!$A$144,Calculation!$A$92,"")</f>
        <v/>
      </c>
      <c r="E94" s="52" t="str">
        <f>IF(Calculation!E94=Calculation!$A$144,Calculation!C94,"")</f>
        <v/>
      </c>
      <c r="F94" s="52" t="str">
        <f>IF(Calculation!E94=Calculation!$A$144,Calculation!F94,"")</f>
        <v/>
      </c>
      <c r="G94" s="54" t="str">
        <f>IF(Calculation!E94=Calculation!$A$144,Calculation!G94,"")</f>
        <v/>
      </c>
      <c r="H94" s="54" t="str">
        <f>IF(Calculation!E94=Calculation!$A$144,Calculation!H94,"")</f>
        <v/>
      </c>
      <c r="I94" s="55"/>
    </row>
    <row r="95">
      <c r="A95" s="52" t="str">
        <f>IF(Calculation!E95=Calculation!$A$144,Calculation!B95,"")</f>
        <v/>
      </c>
      <c r="B95" s="53" t="str">
        <f>IF(Calculation!E95=Calculation!$A$144,Calculation!I95,"")</f>
        <v/>
      </c>
      <c r="C95" s="52" t="str">
        <f>IF(Calculation!E95=Calculation!$A$144,Calculation!D95,"")</f>
        <v/>
      </c>
      <c r="D95" s="52" t="str">
        <f>IF(Calculation!E95=Calculation!$A$144,Calculation!$A$92,"")</f>
        <v/>
      </c>
      <c r="E95" s="52" t="str">
        <f>IF(Calculation!E95=Calculation!$A$144,Calculation!C95,"")</f>
        <v/>
      </c>
      <c r="F95" s="52" t="str">
        <f>IF(Calculation!E95=Calculation!$A$144,Calculation!F95,"")</f>
        <v/>
      </c>
      <c r="G95" s="54" t="str">
        <f>IF(Calculation!E95=Calculation!$A$144,Calculation!G95,"")</f>
        <v/>
      </c>
      <c r="H95" s="54" t="str">
        <f>IF(Calculation!E95=Calculation!$A$144,Calculation!H95,"")</f>
        <v/>
      </c>
      <c r="I95" s="55"/>
    </row>
    <row r="96">
      <c r="A96" s="52" t="str">
        <f>IF(Calculation!E96=Calculation!$A$144,Calculation!B96,"")</f>
        <v/>
      </c>
      <c r="B96" s="53" t="str">
        <f>IF(Calculation!E96=Calculation!$A$144,Calculation!I96,"")</f>
        <v/>
      </c>
      <c r="C96" s="52" t="str">
        <f>IF(Calculation!E96=Calculation!$A$144,Calculation!D96,"")</f>
        <v/>
      </c>
      <c r="D96" s="52" t="str">
        <f>IF(Calculation!E96=Calculation!$A$144,Calculation!$A$92,"")</f>
        <v/>
      </c>
      <c r="E96" s="52" t="str">
        <f>IF(Calculation!E96=Calculation!$A$144,Calculation!C96,"")</f>
        <v/>
      </c>
      <c r="F96" s="52" t="str">
        <f>IF(Calculation!E96=Calculation!$A$144,Calculation!F96,"")</f>
        <v/>
      </c>
      <c r="G96" s="54" t="str">
        <f>IF(Calculation!E96=Calculation!$A$144,Calculation!G96,"")</f>
        <v/>
      </c>
      <c r="H96" s="54" t="str">
        <f>IF(Calculation!E96=Calculation!$A$144,Calculation!H96,"")</f>
        <v/>
      </c>
      <c r="I96" s="55"/>
    </row>
    <row r="97">
      <c r="A97" s="52" t="str">
        <f>IF(Calculation!E97=Calculation!$A$144,Calculation!B97,"")</f>
        <v/>
      </c>
      <c r="B97" s="53" t="str">
        <f>IF(Calculation!E97=Calculation!$A$144,Calculation!I97,"")</f>
        <v/>
      </c>
      <c r="C97" s="52" t="str">
        <f>IF(Calculation!E97=Calculation!$A$144,Calculation!D97,"")</f>
        <v/>
      </c>
      <c r="D97" s="52" t="str">
        <f>IF(Calculation!E97=Calculation!$A$144,Calculation!$A$92,"")</f>
        <v/>
      </c>
      <c r="E97" s="52" t="str">
        <f>IF(Calculation!E97=Calculation!$A$144,Calculation!C97,"")</f>
        <v/>
      </c>
      <c r="F97" s="52" t="str">
        <f>IF(Calculation!E97=Calculation!$A$144,Calculation!F97,"")</f>
        <v/>
      </c>
      <c r="G97" s="54" t="str">
        <f>IF(Calculation!E97=Calculation!$A$144,Calculation!G97,"")</f>
        <v/>
      </c>
      <c r="H97" s="54" t="str">
        <f>IF(Calculation!E97=Calculation!$A$144,Calculation!H97,"")</f>
        <v/>
      </c>
      <c r="I97" s="55"/>
    </row>
    <row r="98">
      <c r="A98" s="52" t="str">
        <f>IF(Calculation!E98=Calculation!$A$144,Calculation!B98,"")</f>
        <v/>
      </c>
      <c r="B98" s="53" t="str">
        <f>IF(Calculation!E98=Calculation!$A$144,Calculation!I98,"")</f>
        <v/>
      </c>
      <c r="C98" s="52" t="str">
        <f>IF(Calculation!E98=Calculation!$A$144,Calculation!D98,"")</f>
        <v/>
      </c>
      <c r="D98" s="52" t="str">
        <f>IF(Calculation!E98=Calculation!$A$144,Calculation!$A$92,"")</f>
        <v/>
      </c>
      <c r="E98" s="52" t="str">
        <f>IF(Calculation!E98=Calculation!$A$144,Calculation!C98,"")</f>
        <v/>
      </c>
      <c r="F98" s="52" t="str">
        <f>IF(Calculation!E98=Calculation!$A$144,Calculation!F98,"")</f>
        <v/>
      </c>
      <c r="G98" s="54" t="str">
        <f>IF(Calculation!E98=Calculation!$A$144,Calculation!G98,"")</f>
        <v/>
      </c>
      <c r="H98" s="54" t="str">
        <f>IF(Calculation!E98=Calculation!$A$144,Calculation!H98,"")</f>
        <v/>
      </c>
      <c r="I98" s="55"/>
    </row>
    <row r="99">
      <c r="A99" s="52" t="str">
        <f>IF(Calculation!E99=Calculation!$A$144,Calculation!B99,"")</f>
        <v/>
      </c>
      <c r="B99" s="53" t="str">
        <f>IF(Calculation!E99=Calculation!$A$144,Calculation!I99,"")</f>
        <v/>
      </c>
      <c r="C99" s="52" t="str">
        <f>IF(Calculation!E99=Calculation!$A$144,Calculation!D99,"")</f>
        <v/>
      </c>
      <c r="D99" s="52" t="str">
        <f>IF(Calculation!E99=Calculation!$A$144,Calculation!$A$92,"")</f>
        <v/>
      </c>
      <c r="E99" s="52" t="str">
        <f>IF(Calculation!E99=Calculation!$A$144,Calculation!C99,"")</f>
        <v/>
      </c>
      <c r="F99" s="52" t="str">
        <f>IF(Calculation!E99=Calculation!$A$144,Calculation!F99,"")</f>
        <v/>
      </c>
      <c r="G99" s="54" t="str">
        <f>IF(Calculation!E99=Calculation!$A$144,Calculation!G99,"")</f>
        <v/>
      </c>
      <c r="H99" s="54" t="str">
        <f>IF(Calculation!E99=Calculation!$A$144,Calculation!H99,"")</f>
        <v/>
      </c>
      <c r="I99" s="55"/>
    </row>
    <row r="100">
      <c r="A100" s="52" t="str">
        <f>IF(Calculation!E100=Calculation!$A$144,Calculation!B100,"")</f>
        <v/>
      </c>
      <c r="B100" s="53" t="str">
        <f>IF(Calculation!E100=Calculation!$A$144,Calculation!I100,"")</f>
        <v/>
      </c>
      <c r="C100" s="52" t="str">
        <f>IF(Calculation!E100=Calculation!$A$144,Calculation!D100,"")</f>
        <v/>
      </c>
      <c r="D100" s="52" t="str">
        <f>IF(Calculation!E100=Calculation!$A$144,Calculation!$A$92,"")</f>
        <v/>
      </c>
      <c r="E100" s="52" t="str">
        <f>IF(Calculation!E100=Calculation!$A$144,Calculation!C100,"")</f>
        <v/>
      </c>
      <c r="F100" s="52" t="str">
        <f>IF(Calculation!E100=Calculation!$A$144,Calculation!F100,"")</f>
        <v/>
      </c>
      <c r="G100" s="54" t="str">
        <f>IF(Calculation!E100=Calculation!$A$144,Calculation!G100,"")</f>
        <v/>
      </c>
      <c r="H100" s="54" t="str">
        <f>IF(Calculation!E100=Calculation!$A$144,Calculation!H100,"")</f>
        <v/>
      </c>
      <c r="I100" s="55"/>
    </row>
    <row r="101">
      <c r="A101" s="52" t="str">
        <f>IF(Calculation!E101=Calculation!$A$144,Calculation!B101,"")</f>
        <v/>
      </c>
      <c r="B101" s="53" t="str">
        <f>IF(Calculation!E101=Calculation!$A$144,Calculation!I101,"")</f>
        <v/>
      </c>
      <c r="C101" s="52" t="str">
        <f>IF(Calculation!E101=Calculation!$A$144,Calculation!D101,"")</f>
        <v/>
      </c>
      <c r="D101" s="52" t="str">
        <f>IF(Calculation!E101=Calculation!$A$144,Calculation!$A$92,"")</f>
        <v/>
      </c>
      <c r="E101" s="52" t="str">
        <f>IF(Calculation!E101=Calculation!$A$144,Calculation!C101,"")</f>
        <v/>
      </c>
      <c r="F101" s="52" t="str">
        <f>IF(Calculation!E101=Calculation!$A$144,Calculation!F101,"")</f>
        <v/>
      </c>
      <c r="G101" s="54" t="str">
        <f>IF(Calculation!E101=Calculation!$A$144,Calculation!G101,"")</f>
        <v/>
      </c>
      <c r="H101" s="54" t="str">
        <f>IF(Calculation!E101=Calculation!$A$144,Calculation!H101,"")</f>
        <v/>
      </c>
      <c r="I101" s="55"/>
    </row>
    <row r="102">
      <c r="A102" s="52" t="str">
        <f>IF(Calculation!E102=Calculation!$A$144,Calculation!B102,"")</f>
        <v/>
      </c>
      <c r="B102" s="53" t="str">
        <f>IF(Calculation!E102=Calculation!$A$144,Calculation!I102,"")</f>
        <v/>
      </c>
      <c r="C102" s="52" t="str">
        <f>IF(Calculation!E102=Calculation!$A$144,Calculation!D102,"")</f>
        <v/>
      </c>
      <c r="D102" s="52" t="str">
        <f>IF(Calculation!E102=Calculation!$A$144,Calculation!$A$92,"")</f>
        <v/>
      </c>
      <c r="E102" s="52" t="str">
        <f>IF(Calculation!E102=Calculation!$A$144,Calculation!C102,"")</f>
        <v/>
      </c>
      <c r="F102" s="52" t="str">
        <f>IF(Calculation!E102=Calculation!$A$144,Calculation!F102,"")</f>
        <v/>
      </c>
      <c r="G102" s="54" t="str">
        <f>IF(Calculation!E102=Calculation!$A$144,Calculation!G102,"")</f>
        <v/>
      </c>
      <c r="H102" s="54" t="str">
        <f>IF(Calculation!E102=Calculation!$A$144,Calculation!H102,"")</f>
        <v/>
      </c>
      <c r="I102" s="55"/>
    </row>
    <row r="103">
      <c r="A103" s="52" t="str">
        <f>IF(Calculation!E103=Calculation!$A$144,Calculation!B103,"")</f>
        <v/>
      </c>
      <c r="B103" s="53" t="str">
        <f>IF(Calculation!E103=Calculation!$A$144,Calculation!I103,"")</f>
        <v/>
      </c>
      <c r="C103" s="52" t="str">
        <f>IF(Calculation!E103=Calculation!$A$144,Calculation!D103,"")</f>
        <v/>
      </c>
      <c r="D103" s="52" t="str">
        <f>IF(Calculation!E103=Calculation!$A$144,Calculation!$A$92,"")</f>
        <v/>
      </c>
      <c r="E103" s="52" t="str">
        <f>IF(Calculation!E103=Calculation!$A$144,Calculation!C103,"")</f>
        <v/>
      </c>
      <c r="F103" s="52" t="str">
        <f>IF(Calculation!E103=Calculation!$A$144,Calculation!F103,"")</f>
        <v/>
      </c>
      <c r="G103" s="54" t="str">
        <f>IF(Calculation!E103=Calculation!$A$144,Calculation!G103,"")</f>
        <v/>
      </c>
      <c r="H103" s="54" t="str">
        <f>IF(Calculation!E103=Calculation!$A$144,Calculation!H103,"")</f>
        <v/>
      </c>
      <c r="I103" s="55"/>
    </row>
    <row r="104">
      <c r="A104" s="52" t="str">
        <f>IF(Calculation!E104=Calculation!$A$144,Calculation!B104,"")</f>
        <v/>
      </c>
      <c r="B104" s="53" t="str">
        <f>IF(Calculation!E104=Calculation!$A$144,Calculation!I104,"")</f>
        <v/>
      </c>
      <c r="C104" s="52" t="str">
        <f>IF(Calculation!E104=Calculation!$A$144,Calculation!D104,"")</f>
        <v/>
      </c>
      <c r="D104" s="52" t="str">
        <f>IF(Calculation!E104=Calculation!$A$144,Calculation!$A$92,"")</f>
        <v/>
      </c>
      <c r="E104" s="52" t="str">
        <f>IF(Calculation!E104=Calculation!$A$144,Calculation!C104,"")</f>
        <v/>
      </c>
      <c r="F104" s="52" t="str">
        <f>IF(Calculation!E104=Calculation!$A$144,Calculation!F104,"")</f>
        <v/>
      </c>
      <c r="G104" s="54" t="str">
        <f>IF(Calculation!E104=Calculation!$A$144,Calculation!G104,"")</f>
        <v/>
      </c>
      <c r="H104" s="54" t="str">
        <f>IF(Calculation!E104=Calculation!$A$144,Calculation!H104,"")</f>
        <v/>
      </c>
      <c r="I104" s="55"/>
    </row>
    <row r="105">
      <c r="A105" s="52" t="str">
        <f>IF(Calculation!E105=Calculation!$A$144,Calculation!B105,"")</f>
        <v/>
      </c>
      <c r="B105" s="53" t="str">
        <f>IF(Calculation!E105=Calculation!$A$144,Calculation!I105,"")</f>
        <v/>
      </c>
      <c r="C105" s="52" t="str">
        <f>IF(Calculation!E105=Calculation!$A$144,Calculation!D105,"")</f>
        <v/>
      </c>
      <c r="D105" s="52" t="str">
        <f>IF(Calculation!E105=Calculation!$A$144,Calculation!$A$105,"")</f>
        <v/>
      </c>
      <c r="E105" s="52" t="str">
        <f>IF(Calculation!E105=Calculation!$A$144,Calculation!C105,"")</f>
        <v/>
      </c>
      <c r="F105" s="52" t="str">
        <f>IF(Calculation!E105=Calculation!$A$144,Calculation!F105,"")</f>
        <v/>
      </c>
      <c r="G105" s="54" t="str">
        <f>IF(Calculation!E105=Calculation!$A$144,Calculation!G105,"")</f>
        <v/>
      </c>
      <c r="H105" s="54" t="str">
        <f>IF(Calculation!E105=Calculation!$A$144,Calculation!H105,"")</f>
        <v/>
      </c>
      <c r="I105" s="55"/>
    </row>
    <row r="106">
      <c r="A106" s="52" t="str">
        <f>IF(Calculation!E106=Calculation!$A$144,Calculation!B106,"")</f>
        <v/>
      </c>
      <c r="B106" s="53" t="str">
        <f>IF(Calculation!E106=Calculation!$A$144,Calculation!I106,"")</f>
        <v/>
      </c>
      <c r="C106" s="52" t="str">
        <f>IF(Calculation!E106=Calculation!$A$144,Calculation!D106,"")</f>
        <v/>
      </c>
      <c r="D106" s="52" t="str">
        <f>IF(Calculation!E106=Calculation!$A$144,Calculation!$A$105,"")</f>
        <v/>
      </c>
      <c r="E106" s="52" t="str">
        <f>IF(Calculation!E106=Calculation!$A$144,Calculation!C106,"")</f>
        <v/>
      </c>
      <c r="F106" s="52" t="str">
        <f>IF(Calculation!E106=Calculation!$A$144,Calculation!F106,"")</f>
        <v/>
      </c>
      <c r="G106" s="54" t="str">
        <f>IF(Calculation!E106=Calculation!$A$144,Calculation!G106,"")</f>
        <v/>
      </c>
      <c r="H106" s="54" t="str">
        <f>IF(Calculation!E106=Calculation!$A$144,Calculation!H106,"")</f>
        <v/>
      </c>
      <c r="I106" s="55"/>
    </row>
    <row r="107">
      <c r="A107" s="52" t="str">
        <f>IF(Calculation!E107=Calculation!$A$144,Calculation!B107,"")</f>
        <v/>
      </c>
      <c r="B107" s="53" t="str">
        <f>IF(Calculation!E107=Calculation!$A$144,Calculation!I107,"")</f>
        <v/>
      </c>
      <c r="C107" s="52" t="str">
        <f>IF(Calculation!E107=Calculation!$A$144,Calculation!D107,"")</f>
        <v/>
      </c>
      <c r="D107" s="52" t="str">
        <f>IF(Calculation!E107=Calculation!$A$144,Calculation!$A$105,"")</f>
        <v/>
      </c>
      <c r="E107" s="52" t="str">
        <f>IF(Calculation!E107=Calculation!$A$144,Calculation!C107,"")</f>
        <v/>
      </c>
      <c r="F107" s="52" t="str">
        <f>IF(Calculation!E107=Calculation!$A$144,Calculation!F107,"")</f>
        <v/>
      </c>
      <c r="G107" s="54" t="str">
        <f>IF(Calculation!E107=Calculation!$A$144,Calculation!G107,"")</f>
        <v/>
      </c>
      <c r="H107" s="54" t="str">
        <f>IF(Calculation!E107=Calculation!$A$144,Calculation!H107,"")</f>
        <v/>
      </c>
      <c r="I107" s="55"/>
    </row>
    <row r="108">
      <c r="A108" s="52" t="str">
        <f>IF(Calculation!E108=Calculation!$A$144,Calculation!B108,"")</f>
        <v/>
      </c>
      <c r="B108" s="53" t="str">
        <f>IF(Calculation!E108=Calculation!$A$144,Calculation!I108,"")</f>
        <v/>
      </c>
      <c r="C108" s="52" t="str">
        <f>IF(Calculation!E108=Calculation!$A$144,Calculation!D108,"")</f>
        <v/>
      </c>
      <c r="D108" s="52" t="str">
        <f>IF(Calculation!E108=Calculation!$A$144,Calculation!$A$105,"")</f>
        <v/>
      </c>
      <c r="E108" s="52" t="str">
        <f>IF(Calculation!E108=Calculation!$A$144,Calculation!C108,"")</f>
        <v/>
      </c>
      <c r="F108" s="52" t="str">
        <f>IF(Calculation!E108=Calculation!$A$144,Calculation!F108,"")</f>
        <v/>
      </c>
      <c r="G108" s="54" t="str">
        <f>IF(Calculation!E108=Calculation!$A$144,Calculation!G108,"")</f>
        <v/>
      </c>
      <c r="H108" s="54" t="str">
        <f>IF(Calculation!E108=Calculation!$A$144,Calculation!H108,"")</f>
        <v/>
      </c>
      <c r="I108" s="55"/>
    </row>
    <row r="109">
      <c r="A109" s="52" t="str">
        <f>IF(Calculation!E109=Calculation!$A$144,Calculation!B109,"")</f>
        <v/>
      </c>
      <c r="B109" s="53" t="str">
        <f>IF(Calculation!E109=Calculation!$A$144,Calculation!I109,"")</f>
        <v/>
      </c>
      <c r="C109" s="52" t="str">
        <f>IF(Calculation!E109=Calculation!$A$144,Calculation!D109,"")</f>
        <v/>
      </c>
      <c r="D109" s="52" t="str">
        <f>IF(Calculation!E109=Calculation!$A$144,Calculation!$A$105,"")</f>
        <v/>
      </c>
      <c r="E109" s="52" t="str">
        <f>IF(Calculation!E109=Calculation!$A$144,Calculation!C109,"")</f>
        <v/>
      </c>
      <c r="F109" s="52" t="str">
        <f>IF(Calculation!E109=Calculation!$A$144,Calculation!F109,"")</f>
        <v/>
      </c>
      <c r="G109" s="54" t="str">
        <f>IF(Calculation!E109=Calculation!$A$144,Calculation!G109,"")</f>
        <v/>
      </c>
      <c r="H109" s="54" t="str">
        <f>IF(Calculation!E109=Calculation!$A$144,Calculation!H109,"")</f>
        <v/>
      </c>
      <c r="I109" s="55"/>
    </row>
    <row r="110">
      <c r="A110" s="52" t="str">
        <f>IF(Calculation!E110=Calculation!$A$144,Calculation!B110,"")</f>
        <v/>
      </c>
      <c r="B110" s="53" t="str">
        <f>IF(Calculation!E110=Calculation!$A$144,Calculation!I110,"")</f>
        <v/>
      </c>
      <c r="C110" s="52" t="str">
        <f>IF(Calculation!E110=Calculation!$A$144,Calculation!D110,"")</f>
        <v/>
      </c>
      <c r="D110" s="52" t="str">
        <f>IF(Calculation!E110=Calculation!$A$144,Calculation!$A$105,"")</f>
        <v/>
      </c>
      <c r="E110" s="52" t="str">
        <f>IF(Calculation!E110=Calculation!$A$144,Calculation!C110,"")</f>
        <v/>
      </c>
      <c r="F110" s="52" t="str">
        <f>IF(Calculation!E110=Calculation!$A$144,Calculation!F110,"")</f>
        <v/>
      </c>
      <c r="G110" s="54" t="str">
        <f>IF(Calculation!E110=Calculation!$A$144,Calculation!G110,"")</f>
        <v/>
      </c>
      <c r="H110" s="54" t="str">
        <f>IF(Calculation!E110=Calculation!$A$144,Calculation!H110,"")</f>
        <v/>
      </c>
      <c r="I110" s="55"/>
    </row>
    <row r="111">
      <c r="A111" s="52" t="str">
        <f>IF(Calculation!E111=Calculation!$A$144,Calculation!B111,"")</f>
        <v/>
      </c>
      <c r="B111" s="53" t="str">
        <f>IF(Calculation!E111=Calculation!$A$144,Calculation!I111,"")</f>
        <v/>
      </c>
      <c r="C111" s="52" t="str">
        <f>IF(Calculation!E111=Calculation!$A$144,Calculation!D111,"")</f>
        <v/>
      </c>
      <c r="D111" s="52" t="str">
        <f>IF(Calculation!E111=Calculation!$A$144,Calculation!$A$105,"")</f>
        <v/>
      </c>
      <c r="E111" s="52" t="str">
        <f>IF(Calculation!E111=Calculation!$A$144,Calculation!C111,"")</f>
        <v/>
      </c>
      <c r="F111" s="52" t="str">
        <f>IF(Calculation!E111=Calculation!$A$144,Calculation!F111,"")</f>
        <v/>
      </c>
      <c r="G111" s="54" t="str">
        <f>IF(Calculation!E111=Calculation!$A$144,Calculation!G111,"")</f>
        <v/>
      </c>
      <c r="H111" s="54" t="str">
        <f>IF(Calculation!E111=Calculation!$A$144,Calculation!H111,"")</f>
        <v/>
      </c>
      <c r="I111" s="55"/>
    </row>
    <row r="112">
      <c r="A112" s="52" t="str">
        <f>IF(Calculation!E112=Calculation!$A$144,Calculation!B112,"")</f>
        <v/>
      </c>
      <c r="B112" s="53" t="str">
        <f>IF(Calculation!E112=Calculation!$A$144,Calculation!I112,"")</f>
        <v/>
      </c>
      <c r="C112" s="52" t="str">
        <f>IF(Calculation!E112=Calculation!$A$144,Calculation!D112,"")</f>
        <v/>
      </c>
      <c r="D112" s="52" t="str">
        <f>IF(Calculation!E112=Calculation!$A$144,Calculation!$A$105,"")</f>
        <v/>
      </c>
      <c r="E112" s="52" t="str">
        <f>IF(Calculation!E112=Calculation!$A$144,Calculation!C112,"")</f>
        <v/>
      </c>
      <c r="F112" s="52" t="str">
        <f>IF(Calculation!E112=Calculation!$A$144,Calculation!F112,"")</f>
        <v/>
      </c>
      <c r="G112" s="54" t="str">
        <f>IF(Calculation!E112=Calculation!$A$144,Calculation!G112,"")</f>
        <v/>
      </c>
      <c r="H112" s="54" t="str">
        <f>IF(Calculation!E112=Calculation!$A$144,Calculation!H112,"")</f>
        <v/>
      </c>
      <c r="I112" s="55"/>
    </row>
    <row r="113">
      <c r="A113" s="52" t="str">
        <f>IF(Calculation!E113=Calculation!$A$144,Calculation!B113,"")</f>
        <v/>
      </c>
      <c r="B113" s="53" t="str">
        <f>IF(Calculation!E113=Calculation!$A$144,Calculation!I113,"")</f>
        <v/>
      </c>
      <c r="C113" s="52" t="str">
        <f>IF(Calculation!E113=Calculation!$A$144,Calculation!D113,"")</f>
        <v/>
      </c>
      <c r="D113" s="52" t="str">
        <f>IF(Calculation!E113=Calculation!$A$144,Calculation!$A$105,"")</f>
        <v/>
      </c>
      <c r="E113" s="52" t="str">
        <f>IF(Calculation!E113=Calculation!$A$144,Calculation!C113,"")</f>
        <v/>
      </c>
      <c r="F113" s="52" t="str">
        <f>IF(Calculation!E113=Calculation!$A$144,Calculation!F113,"")</f>
        <v/>
      </c>
      <c r="G113" s="54" t="str">
        <f>IF(Calculation!E113=Calculation!$A$144,Calculation!G113,"")</f>
        <v/>
      </c>
      <c r="H113" s="54" t="str">
        <f>IF(Calculation!E113=Calculation!$A$144,Calculation!H113,"")</f>
        <v/>
      </c>
      <c r="I113" s="55"/>
    </row>
    <row r="114">
      <c r="A114" s="52" t="str">
        <f>IF(Calculation!E114=Calculation!$A$144,Calculation!B114,"")</f>
        <v/>
      </c>
      <c r="B114" s="53" t="str">
        <f>IF(Calculation!E114=Calculation!$A$144,Calculation!I114,"")</f>
        <v/>
      </c>
      <c r="C114" s="52" t="str">
        <f>IF(Calculation!E114=Calculation!$A$144,Calculation!D114,"")</f>
        <v/>
      </c>
      <c r="D114" s="52" t="str">
        <f>IF(Calculation!E114=Calculation!$A$144,Calculation!$A$105,"")</f>
        <v/>
      </c>
      <c r="E114" s="52" t="str">
        <f>IF(Calculation!E114=Calculation!$A$144,Calculation!C114,"")</f>
        <v/>
      </c>
      <c r="F114" s="52" t="str">
        <f>IF(Calculation!E114=Calculation!$A$144,Calculation!F114,"")</f>
        <v/>
      </c>
      <c r="G114" s="54" t="str">
        <f>IF(Calculation!E114=Calculation!$A$144,Calculation!G114,"")</f>
        <v/>
      </c>
      <c r="H114" s="54" t="str">
        <f>IF(Calculation!E114=Calculation!$A$144,Calculation!H114,"")</f>
        <v/>
      </c>
      <c r="I114" s="55"/>
    </row>
    <row r="115">
      <c r="A115" s="52" t="str">
        <f>IF(Calculation!E115=Calculation!$A$144,Calculation!B115,"")</f>
        <v/>
      </c>
      <c r="B115" s="53" t="str">
        <f>IF(Calculation!E115=Calculation!$A$144,Calculation!I115,"")</f>
        <v/>
      </c>
      <c r="C115" s="52" t="str">
        <f>IF(Calculation!E115=Calculation!$A$144,Calculation!D115,"")</f>
        <v/>
      </c>
      <c r="D115" s="52" t="str">
        <f>IF(Calculation!E115=Calculation!$A$144,Calculation!$A$105,"")</f>
        <v/>
      </c>
      <c r="E115" s="52" t="str">
        <f>IF(Calculation!E115=Calculation!$A$144,Calculation!C115,"")</f>
        <v/>
      </c>
      <c r="F115" s="52" t="str">
        <f>IF(Calculation!E115=Calculation!$A$144,Calculation!F115,"")</f>
        <v/>
      </c>
      <c r="G115" s="54" t="str">
        <f>IF(Calculation!E115=Calculation!$A$144,Calculation!G115,"")</f>
        <v/>
      </c>
      <c r="H115" s="54" t="str">
        <f>IF(Calculation!E115=Calculation!$A$144,Calculation!H115,"")</f>
        <v/>
      </c>
      <c r="I115" s="55"/>
    </row>
    <row r="116">
      <c r="A116" s="52" t="str">
        <f>IF(Calculation!E116=Calculation!$A$144,Calculation!B116,"")</f>
        <v/>
      </c>
      <c r="B116" s="53" t="str">
        <f>IF(Calculation!E116=Calculation!$A$144,Calculation!I116,"")</f>
        <v/>
      </c>
      <c r="C116" s="52" t="str">
        <f>IF(Calculation!E116=Calculation!$A$144,Calculation!D116,"")</f>
        <v/>
      </c>
      <c r="D116" s="52" t="str">
        <f>IF(Calculation!E116=Calculation!$A$144,Calculation!$A$105,"")</f>
        <v/>
      </c>
      <c r="E116" s="52" t="str">
        <f>IF(Calculation!E116=Calculation!$A$144,Calculation!C116,"")</f>
        <v/>
      </c>
      <c r="F116" s="52" t="str">
        <f>IF(Calculation!E116=Calculation!$A$144,Calculation!F116,"")</f>
        <v/>
      </c>
      <c r="G116" s="54" t="str">
        <f>IF(Calculation!E116=Calculation!$A$144,Calculation!G116,"")</f>
        <v/>
      </c>
      <c r="H116" s="54" t="str">
        <f>IF(Calculation!E116=Calculation!$A$144,Calculation!H116,"")</f>
        <v/>
      </c>
      <c r="I116" s="55"/>
    </row>
    <row r="117">
      <c r="A117" s="52" t="str">
        <f>IF(Calculation!E117=Calculation!$A$144,Calculation!B117,"")</f>
        <v/>
      </c>
      <c r="B117" s="53" t="str">
        <f>IF(Calculation!E117=Calculation!$A$144,Calculation!I117,"")</f>
        <v/>
      </c>
      <c r="C117" s="52" t="str">
        <f>IF(Calculation!E117=Calculation!$A$144,Calculation!D117,"")</f>
        <v/>
      </c>
      <c r="D117" s="52" t="str">
        <f>IF(Calculation!E117=Calculation!$A$144,Calculation!$A$117,"")</f>
        <v/>
      </c>
      <c r="E117" s="52" t="str">
        <f>IF(Calculation!E117=Calculation!$A$144,Calculation!C117,"")</f>
        <v/>
      </c>
      <c r="F117" s="52" t="str">
        <f>IF(Calculation!E117=Calculation!$A$144,Calculation!F117,"")</f>
        <v/>
      </c>
      <c r="G117" s="54" t="str">
        <f>IF(Calculation!E117=Calculation!$A$144,Calculation!G117,"")</f>
        <v/>
      </c>
      <c r="H117" s="54" t="str">
        <f>IF(Calculation!E117=Calculation!$A$144,Calculation!H117,"")</f>
        <v/>
      </c>
      <c r="I117" s="55"/>
    </row>
    <row r="118">
      <c r="A118" s="52" t="str">
        <f>IF(Calculation!E118=Calculation!$A$144,Calculation!B118,"")</f>
        <v/>
      </c>
      <c r="B118" s="53" t="str">
        <f>IF(Calculation!E118=Calculation!$A$144,Calculation!I118,"")</f>
        <v/>
      </c>
      <c r="C118" s="52" t="str">
        <f>IF(Calculation!E118=Calculation!$A$144,Calculation!D118,"")</f>
        <v/>
      </c>
      <c r="D118" s="52" t="str">
        <f>IF(Calculation!E118=Calculation!$A$144,Calculation!$A$117,"")</f>
        <v/>
      </c>
      <c r="E118" s="52" t="str">
        <f>IF(Calculation!E118=Calculation!$A$144,Calculation!C118,"")</f>
        <v/>
      </c>
      <c r="F118" s="52" t="str">
        <f>IF(Calculation!E118=Calculation!$A$144,Calculation!F118,"")</f>
        <v/>
      </c>
      <c r="G118" s="54" t="str">
        <f>IF(Calculation!E118=Calculation!$A$144,Calculation!G118,"")</f>
        <v/>
      </c>
      <c r="H118" s="54" t="str">
        <f>IF(Calculation!E118=Calculation!$A$144,Calculation!H118,"")</f>
        <v/>
      </c>
      <c r="I118" s="55"/>
    </row>
    <row r="119">
      <c r="A119" s="52" t="str">
        <f>IF(Calculation!E119=Calculation!$A$144,Calculation!B119,"")</f>
        <v/>
      </c>
      <c r="B119" s="53" t="str">
        <f>IF(Calculation!E119=Calculation!$A$144,Calculation!I119,"")</f>
        <v/>
      </c>
      <c r="C119" s="52" t="str">
        <f>IF(Calculation!E119=Calculation!$A$144,Calculation!D119,"")</f>
        <v/>
      </c>
      <c r="D119" s="52" t="str">
        <f>IF(Calculation!E119=Calculation!$A$144,Calculation!$A$117,"")</f>
        <v/>
      </c>
      <c r="E119" s="52" t="str">
        <f>IF(Calculation!E119=Calculation!$A$144,Calculation!C119,"")</f>
        <v/>
      </c>
      <c r="F119" s="52" t="str">
        <f>IF(Calculation!E119=Calculation!$A$144,Calculation!F119,"")</f>
        <v/>
      </c>
      <c r="G119" s="54" t="str">
        <f>IF(Calculation!E119=Calculation!$A$144,Calculation!G119,"")</f>
        <v/>
      </c>
      <c r="H119" s="54" t="str">
        <f>IF(Calculation!E119=Calculation!$A$144,Calculation!H119,"")</f>
        <v/>
      </c>
      <c r="I119" s="55"/>
    </row>
    <row r="120">
      <c r="A120" s="52" t="str">
        <f>IF(Calculation!E120=Calculation!$A$144,Calculation!B120,"")</f>
        <v/>
      </c>
      <c r="B120" s="53" t="str">
        <f>IF(Calculation!E120=Calculation!$A$144,Calculation!I120,"")</f>
        <v/>
      </c>
      <c r="C120" s="52" t="str">
        <f>IF(Calculation!E120=Calculation!$A$144,Calculation!D120,"")</f>
        <v/>
      </c>
      <c r="D120" s="52" t="str">
        <f>IF(Calculation!E120=Calculation!$A$144,Calculation!$A$117,"")</f>
        <v/>
      </c>
      <c r="E120" s="52" t="str">
        <f>IF(Calculation!E120=Calculation!$A$144,Calculation!C120,"")</f>
        <v/>
      </c>
      <c r="F120" s="52" t="str">
        <f>IF(Calculation!E120=Calculation!$A$144,Calculation!F120,"")</f>
        <v/>
      </c>
      <c r="G120" s="54" t="str">
        <f>IF(Calculation!E120=Calculation!$A$144,Calculation!G120,"")</f>
        <v/>
      </c>
      <c r="H120" s="54" t="str">
        <f>IF(Calculation!E120=Calculation!$A$144,Calculation!H120,"")</f>
        <v/>
      </c>
      <c r="I120" s="55"/>
    </row>
    <row r="121">
      <c r="A121" s="52" t="str">
        <f>IF(Calculation!E121=Calculation!$A$144,Calculation!B121,"")</f>
        <v/>
      </c>
      <c r="B121" s="53" t="str">
        <f>IF(Calculation!E121=Calculation!$A$144,Calculation!I121,"")</f>
        <v/>
      </c>
      <c r="C121" s="52" t="str">
        <f>IF(Calculation!E121=Calculation!$A$144,Calculation!D121,"")</f>
        <v/>
      </c>
      <c r="D121" s="52" t="str">
        <f>IF(Calculation!E121=Calculation!$A$144,Calculation!$A$117,"")</f>
        <v/>
      </c>
      <c r="E121" s="52" t="str">
        <f>IF(Calculation!E121=Calculation!$A$144,Calculation!C121,"")</f>
        <v/>
      </c>
      <c r="F121" s="52" t="str">
        <f>IF(Calculation!E121=Calculation!$A$144,Calculation!F121,"")</f>
        <v/>
      </c>
      <c r="G121" s="54" t="str">
        <f>IF(Calculation!E121=Calculation!$A$144,Calculation!G121,"")</f>
        <v/>
      </c>
      <c r="H121" s="54" t="str">
        <f>IF(Calculation!E121=Calculation!$A$144,Calculation!H121,"")</f>
        <v/>
      </c>
      <c r="I121" s="55"/>
    </row>
    <row r="122">
      <c r="A122" s="52" t="str">
        <f>IF(Calculation!E122=Calculation!$A$144,Calculation!B122,"")</f>
        <v/>
      </c>
      <c r="B122" s="53" t="str">
        <f>IF(Calculation!E122=Calculation!$A$144,Calculation!I122,"")</f>
        <v/>
      </c>
      <c r="C122" s="52" t="str">
        <f>IF(Calculation!E122=Calculation!$A$144,Calculation!D122,"")</f>
        <v/>
      </c>
      <c r="D122" s="52" t="str">
        <f>IF(Calculation!E122=Calculation!$A$144,Calculation!$A$117,"")</f>
        <v/>
      </c>
      <c r="E122" s="52" t="str">
        <f>IF(Calculation!E122=Calculation!$A$144,Calculation!C122,"")</f>
        <v/>
      </c>
      <c r="F122" s="52" t="str">
        <f>IF(Calculation!E122=Calculation!$A$144,Calculation!F122,"")</f>
        <v/>
      </c>
      <c r="G122" s="54" t="str">
        <f>IF(Calculation!E122=Calculation!$A$144,Calculation!G122,"")</f>
        <v/>
      </c>
      <c r="H122" s="54" t="str">
        <f>IF(Calculation!E122=Calculation!$A$144,Calculation!H122,"")</f>
        <v/>
      </c>
      <c r="I122" s="55"/>
    </row>
    <row r="123">
      <c r="A123" s="52" t="str">
        <f>IF(Calculation!E123=Calculation!$A$144,Calculation!B123,"")</f>
        <v/>
      </c>
      <c r="B123" s="53" t="str">
        <f>IF(Calculation!E123=Calculation!$A$144,Calculation!I123,"")</f>
        <v/>
      </c>
      <c r="C123" s="52" t="str">
        <f>IF(Calculation!E123=Calculation!$A$144,Calculation!D123,"")</f>
        <v/>
      </c>
      <c r="D123" s="52" t="str">
        <f>IF(Calculation!E123=Calculation!$A$144,Calculation!$A$117,"")</f>
        <v/>
      </c>
      <c r="E123" s="52" t="str">
        <f>IF(Calculation!E123=Calculation!$A$144,Calculation!C123,"")</f>
        <v/>
      </c>
      <c r="F123" s="52" t="str">
        <f>IF(Calculation!E123=Calculation!$A$144,Calculation!F123,"")</f>
        <v/>
      </c>
      <c r="G123" s="54" t="str">
        <f>IF(Calculation!E123=Calculation!$A$144,Calculation!G123,"")</f>
        <v/>
      </c>
      <c r="H123" s="54" t="str">
        <f>IF(Calculation!E123=Calculation!$A$144,Calculation!H123,"")</f>
        <v/>
      </c>
      <c r="I123" s="55"/>
    </row>
    <row r="124">
      <c r="A124" s="52" t="str">
        <f>IF(Calculation!E124=Calculation!$A$144,Calculation!B124,"")</f>
        <v/>
      </c>
      <c r="B124" s="53" t="str">
        <f>IF(Calculation!E124=Calculation!$A$144,Calculation!I124,"")</f>
        <v/>
      </c>
      <c r="C124" s="52" t="str">
        <f>IF(Calculation!E124=Calculation!$A$144,Calculation!D124,"")</f>
        <v/>
      </c>
      <c r="D124" s="52" t="str">
        <f>IF(Calculation!E124=Calculation!$A$144,Calculation!$A$117,"")</f>
        <v/>
      </c>
      <c r="E124" s="52" t="str">
        <f>IF(Calculation!E124=Calculation!$A$144,Calculation!C124,"")</f>
        <v/>
      </c>
      <c r="F124" s="52" t="str">
        <f>IF(Calculation!E124=Calculation!$A$144,Calculation!F124,"")</f>
        <v/>
      </c>
      <c r="G124" s="54" t="str">
        <f>IF(Calculation!E124=Calculation!$A$144,Calculation!G124,"")</f>
        <v/>
      </c>
      <c r="H124" s="54" t="str">
        <f>IF(Calculation!E124=Calculation!$A$144,Calculation!H124,"")</f>
        <v/>
      </c>
      <c r="I124" s="55"/>
    </row>
    <row r="125">
      <c r="A125" s="52" t="str">
        <f>IF(Calculation!E125=Calculation!$A$144,Calculation!B125,"")</f>
        <v/>
      </c>
      <c r="B125" s="53" t="str">
        <f>IF(Calculation!E125=Calculation!$A$144,Calculation!I125,"")</f>
        <v/>
      </c>
      <c r="C125" s="52" t="str">
        <f>IF(Calculation!E125=Calculation!$A$144,Calculation!D125,"")</f>
        <v/>
      </c>
      <c r="D125" s="52" t="str">
        <f>IF(Calculation!E125=Calculation!$A$144,Calculation!$A$117,"")</f>
        <v/>
      </c>
      <c r="E125" s="52" t="str">
        <f>IF(Calculation!E125=Calculation!$A$144,Calculation!C125,"")</f>
        <v/>
      </c>
      <c r="F125" s="52" t="str">
        <f>IF(Calculation!E125=Calculation!$A$144,Calculation!F125,"")</f>
        <v/>
      </c>
      <c r="G125" s="54" t="str">
        <f>IF(Calculation!E125=Calculation!$A$144,Calculation!G125,"")</f>
        <v/>
      </c>
      <c r="H125" s="54" t="str">
        <f>IF(Calculation!E125=Calculation!$A$144,Calculation!H125,"")</f>
        <v/>
      </c>
      <c r="I125" s="55"/>
    </row>
  </sheetData>
  <mergeCells count="37">
    <mergeCell ref="A1:I1"/>
    <mergeCell ref="M3:P3"/>
    <mergeCell ref="M4:P4"/>
    <mergeCell ref="M5:P5"/>
    <mergeCell ref="M6:O6"/>
    <mergeCell ref="M8:Q8"/>
    <mergeCell ref="P9:Q9"/>
    <mergeCell ref="M9:O9"/>
    <mergeCell ref="M10:O10"/>
    <mergeCell ref="P10:Q10"/>
    <mergeCell ref="R10:S10"/>
    <mergeCell ref="M11:O11"/>
    <mergeCell ref="P11:Q11"/>
    <mergeCell ref="R11:S11"/>
    <mergeCell ref="P14:Q14"/>
    <mergeCell ref="R14:S14"/>
    <mergeCell ref="M12:O12"/>
    <mergeCell ref="P12:Q12"/>
    <mergeCell ref="R12:S12"/>
    <mergeCell ref="M13:O13"/>
    <mergeCell ref="P13:Q13"/>
    <mergeCell ref="R13:S13"/>
    <mergeCell ref="M14:O14"/>
    <mergeCell ref="M19:P19"/>
    <mergeCell ref="M20:P20"/>
    <mergeCell ref="M21:P21"/>
    <mergeCell ref="M22:P22"/>
    <mergeCell ref="O24:Q24"/>
    <mergeCell ref="O25:Q25"/>
    <mergeCell ref="R26:S26"/>
    <mergeCell ref="M15:O15"/>
    <mergeCell ref="P15:Q15"/>
    <mergeCell ref="R15:S15"/>
    <mergeCell ref="M16:O16"/>
    <mergeCell ref="P16:Q16"/>
    <mergeCell ref="R16:S16"/>
    <mergeCell ref="M18:P18"/>
  </mergeCells>
  <dataValidations>
    <dataValidation type="custom" allowBlank="1" showDropDown="1" sqref="P9 R15">
      <formula1>OR(NOT(ISERROR(DATEVALUE(P9))), AND(ISNUMBER(P9), LEFT(CELL("format", P9))="D"))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9.13"/>
    <col customWidth="1" min="3" max="3" width="18.63"/>
    <col customWidth="1" min="4" max="4" width="20.5"/>
    <col customWidth="1" min="5" max="5" width="17.63"/>
    <col customWidth="1" min="6" max="6" width="18.75"/>
    <col customWidth="1" min="7" max="7" width="19.25"/>
    <col customWidth="1" min="8" max="9" width="17.38"/>
    <col customWidth="1" min="10" max="10" width="15.13"/>
  </cols>
  <sheetData>
    <row r="1" ht="42.0" customHeight="1">
      <c r="A1" s="49" t="s">
        <v>44</v>
      </c>
      <c r="J1" s="50"/>
      <c r="M1" s="59"/>
      <c r="N1" s="59"/>
      <c r="O1" s="59"/>
      <c r="P1" s="60"/>
      <c r="Q1" s="59"/>
      <c r="R1" s="59"/>
      <c r="S1" s="59"/>
      <c r="T1" s="59"/>
      <c r="U1" s="61"/>
    </row>
    <row r="2" ht="29.25" customHeight="1">
      <c r="A2" s="51" t="s">
        <v>45</v>
      </c>
      <c r="B2" s="51" t="s">
        <v>46</v>
      </c>
      <c r="C2" s="51" t="s">
        <v>47</v>
      </c>
      <c r="D2" s="51" t="s">
        <v>41</v>
      </c>
      <c r="E2" s="51" t="s">
        <v>48</v>
      </c>
      <c r="F2" s="51" t="s">
        <v>49</v>
      </c>
      <c r="G2" s="51" t="s">
        <v>50</v>
      </c>
      <c r="H2" s="51" t="s">
        <v>51</v>
      </c>
      <c r="I2" s="51" t="s">
        <v>52</v>
      </c>
      <c r="M2" s="62"/>
      <c r="N2" s="62"/>
      <c r="O2" s="62"/>
      <c r="P2" s="63"/>
      <c r="Q2" s="62"/>
      <c r="R2" s="62"/>
      <c r="S2" s="62"/>
      <c r="T2" s="62"/>
      <c r="U2" s="64"/>
    </row>
    <row r="3" ht="18.75" customHeight="1">
      <c r="A3" s="52" t="str">
        <f>IF(Calculation!E3=Calculation!$A$145,Calculation!B3,"")</f>
        <v/>
      </c>
      <c r="B3" s="53" t="str">
        <f>IF(Calculation!E3=Calculation!$A$145,Calculation!I3,"")</f>
        <v/>
      </c>
      <c r="C3" s="52" t="str">
        <f>IF(Calculation!E3=Calculation!$A$145,Calculation!D3,"")</f>
        <v/>
      </c>
      <c r="D3" s="52" t="str">
        <f>IF(Calculation!E3=Calculation!$A$145,Calculation!$A$3,"")</f>
        <v/>
      </c>
      <c r="E3" s="52" t="str">
        <f>IF(Calculation!E3=Calculation!$A$145,Calculation!C3,"")</f>
        <v/>
      </c>
      <c r="F3" s="52" t="str">
        <f>IF(Calculation!E3=Calculation!$A$145,Calculation!F3,"")</f>
        <v/>
      </c>
      <c r="G3" s="54" t="str">
        <f>IF(Calculation!E3=Calculation!$A$145,Calculation!G3,"")</f>
        <v/>
      </c>
      <c r="H3" s="54" t="str">
        <f>IF(Calculation!E3=Calculation!$A$145,Calculation!H3,"")</f>
        <v/>
      </c>
      <c r="I3" s="110">
        <f>SUMIF(Calculation!E3:E125,Calculation!$A$145,Calculation!H3:H125)</f>
        <v>44</v>
      </c>
      <c r="M3" s="65" t="s">
        <v>53</v>
      </c>
      <c r="Q3" s="62"/>
      <c r="R3" s="62"/>
      <c r="S3" s="62"/>
      <c r="T3" s="62"/>
      <c r="U3" s="64"/>
    </row>
    <row r="4" ht="20.25" customHeight="1">
      <c r="A4" s="52" t="str">
        <f>IF(Calculation!E4=Calculation!$A$145,Calculation!B4,"")</f>
        <v/>
      </c>
      <c r="B4" s="53" t="str">
        <f>IF(Calculation!E4=Calculation!$A$145,Calculation!I4,"")</f>
        <v/>
      </c>
      <c r="C4" s="52" t="str">
        <f>IF(Calculation!E4=Calculation!$A$145,Calculation!D4,"")</f>
        <v/>
      </c>
      <c r="D4" s="52" t="str">
        <f>IF(Calculation!E4=Calculation!$A$145,Calculation!$A$3,"")</f>
        <v/>
      </c>
      <c r="E4" s="52" t="str">
        <f>IF(Calculation!E4=Calculation!$A$145,Calculation!C4,"")</f>
        <v/>
      </c>
      <c r="F4" s="52" t="str">
        <f>IF(Calculation!E4=Calculation!$A$145,Calculation!F4,"")</f>
        <v/>
      </c>
      <c r="G4" s="54" t="str">
        <f>IF(Calculation!E4=Calculation!$A$145,Calculation!G4,"")</f>
        <v/>
      </c>
      <c r="H4" s="54" t="str">
        <f>IF(Calculation!E4=Calculation!$A$145,Calculation!H4,"")</f>
        <v/>
      </c>
      <c r="I4" s="55"/>
      <c r="M4" s="106" t="s">
        <v>75</v>
      </c>
      <c r="Q4" s="62"/>
      <c r="R4" s="62"/>
      <c r="S4" s="62"/>
      <c r="T4" s="62"/>
      <c r="U4" s="64"/>
    </row>
    <row r="5">
      <c r="A5" s="52" t="str">
        <f>IF(Calculation!E5=Calculation!$A$145,Calculation!B5,"")</f>
        <v/>
      </c>
      <c r="B5" s="53" t="str">
        <f>IF(Calculation!E5=Calculation!$A$145,Calculation!I5,"")</f>
        <v/>
      </c>
      <c r="C5" s="52" t="str">
        <f>IF(Calculation!E5=Calculation!$A$145,Calculation!D5,"")</f>
        <v/>
      </c>
      <c r="D5" s="52" t="str">
        <f>IF(Calculation!E5=Calculation!$A$145,Calculation!$A$3,"")</f>
        <v/>
      </c>
      <c r="E5" s="52" t="str">
        <f>IF(Calculation!E5=Calculation!$A$145,Calculation!C5,"")</f>
        <v/>
      </c>
      <c r="F5" s="52" t="str">
        <f>IF(Calculation!E5=Calculation!$A$145,Calculation!F5,"")</f>
        <v/>
      </c>
      <c r="G5" s="54" t="str">
        <f>IF(Calculation!E5=Calculation!$A$145,Calculation!G5,"")</f>
        <v/>
      </c>
      <c r="H5" s="54" t="str">
        <f>IF(Calculation!E5=Calculation!$A$145,Calculation!H5,"")</f>
        <v/>
      </c>
      <c r="I5" s="55"/>
      <c r="M5" s="107" t="s">
        <v>76</v>
      </c>
      <c r="Q5" s="62"/>
      <c r="R5" s="62"/>
      <c r="S5" s="62"/>
      <c r="T5" s="62"/>
      <c r="U5" s="64"/>
    </row>
    <row r="6">
      <c r="A6" s="52" t="str">
        <f>IF(Calculation!E6=Calculation!$A$145,Calculation!B6,"")</f>
        <v/>
      </c>
      <c r="B6" s="53" t="str">
        <f>IF(Calculation!E6=Calculation!$A$145,Calculation!I6,"")</f>
        <v/>
      </c>
      <c r="C6" s="52" t="str">
        <f>IF(Calculation!E6=Calculation!$A$145,Calculation!D6,"")</f>
        <v/>
      </c>
      <c r="D6" s="52" t="str">
        <f>IF(Calculation!E6=Calculation!$A$145,Calculation!$A$3,"")</f>
        <v/>
      </c>
      <c r="E6" s="52" t="str">
        <f>IF(Calculation!E6=Calculation!$A$145,Calculation!C6,"")</f>
        <v/>
      </c>
      <c r="F6" s="52" t="str">
        <f>IF(Calculation!E6=Calculation!$A$145,Calculation!F6,"")</f>
        <v/>
      </c>
      <c r="G6" s="54" t="str">
        <f>IF(Calculation!E6=Calculation!$A$145,Calculation!G6,"")</f>
        <v/>
      </c>
      <c r="H6" s="54" t="str">
        <f>IF(Calculation!E6=Calculation!$A$145,Calculation!H6,"")</f>
        <v/>
      </c>
      <c r="I6" s="55"/>
      <c r="M6" s="78" t="s">
        <v>77</v>
      </c>
      <c r="P6" s="72"/>
      <c r="Q6" s="69"/>
      <c r="R6" s="69"/>
      <c r="S6" s="69"/>
      <c r="T6" s="69"/>
      <c r="U6" s="70"/>
    </row>
    <row r="7">
      <c r="A7" s="52" t="str">
        <f>IF(Calculation!E7=Calculation!$A$145,Calculation!B7,"")</f>
        <v/>
      </c>
      <c r="B7" s="53" t="str">
        <f>IF(Calculation!E7=Calculation!$A$145,Calculation!I7,"")</f>
        <v/>
      </c>
      <c r="C7" s="52" t="str">
        <f>IF(Calculation!E7=Calculation!$A$145,Calculation!D7,"")</f>
        <v/>
      </c>
      <c r="D7" s="52" t="str">
        <f>IF(Calculation!E7=Calculation!$A$145,Calculation!$A$3,"")</f>
        <v/>
      </c>
      <c r="E7" s="52" t="str">
        <f>IF(Calculation!E7=Calculation!$A$145,Calculation!C7,"")</f>
        <v/>
      </c>
      <c r="F7" s="52" t="str">
        <f>IF(Calculation!E7=Calculation!$A$145,Calculation!F7,"")</f>
        <v/>
      </c>
      <c r="G7" s="54" t="str">
        <f>IF(Calculation!E7=Calculation!$A$145,Calculation!G7,"")</f>
        <v/>
      </c>
      <c r="H7" s="54" t="str">
        <f>IF(Calculation!E7=Calculation!$A$145,Calculation!H7,"")</f>
        <v/>
      </c>
      <c r="I7" s="55"/>
      <c r="M7" s="62"/>
      <c r="N7" s="62"/>
      <c r="O7" s="62"/>
      <c r="P7" s="62"/>
      <c r="Q7" s="62"/>
      <c r="R7" s="62"/>
      <c r="S7" s="62"/>
      <c r="T7" s="62"/>
      <c r="U7" s="64"/>
    </row>
    <row r="8">
      <c r="A8" s="52" t="str">
        <f>IF(Calculation!E8=Calculation!$A$145,Calculation!B8,"")</f>
        <v/>
      </c>
      <c r="B8" s="53" t="str">
        <f>IF(Calculation!E8=Calculation!$A$145,Calculation!I8,"")</f>
        <v/>
      </c>
      <c r="C8" s="52" t="str">
        <f>IF(Calculation!E8=Calculation!$A$145,Calculation!D8,"")</f>
        <v/>
      </c>
      <c r="D8" s="52" t="str">
        <f>IF(Calculation!E8=Calculation!$A$145,Calculation!$A$3,"")</f>
        <v/>
      </c>
      <c r="E8" s="52" t="str">
        <f>IF(Calculation!E8=Calculation!$A$145,Calculation!C8,"")</f>
        <v/>
      </c>
      <c r="F8" s="52" t="str">
        <f>IF(Calculation!E8=Calculation!$A$145,Calculation!F8,"")</f>
        <v/>
      </c>
      <c r="G8" s="54" t="str">
        <f>IF(Calculation!E8=Calculation!$A$145,Calculation!G8,"")</f>
        <v/>
      </c>
      <c r="H8" s="54" t="str">
        <f>IF(Calculation!E8=Calculation!$A$145,Calculation!H8,"")</f>
        <v/>
      </c>
      <c r="I8" s="55"/>
      <c r="M8" s="108" t="s">
        <v>78</v>
      </c>
      <c r="R8" s="62"/>
      <c r="S8" s="62"/>
      <c r="T8" s="69"/>
      <c r="U8" s="70"/>
    </row>
    <row r="9">
      <c r="A9" s="52" t="str">
        <f>IF(Calculation!E9=Calculation!$A$145,Calculation!B9,"")</f>
        <v/>
      </c>
      <c r="B9" s="53" t="str">
        <f>IF(Calculation!E9=Calculation!$A$145,Calculation!I9,"")</f>
        <v/>
      </c>
      <c r="C9" s="52" t="str">
        <f>IF(Calculation!E9=Calculation!$A$145,Calculation!D9,"")</f>
        <v/>
      </c>
      <c r="D9" s="52" t="str">
        <f>IF(Calculation!E9=Calculation!$A$145,Calculation!$A$3,"")</f>
        <v/>
      </c>
      <c r="E9" s="52" t="str">
        <f>IF(Calculation!E9=Calculation!$A$145,Calculation!C9,"")</f>
        <v/>
      </c>
      <c r="F9" s="52" t="str">
        <f>IF(Calculation!E9=Calculation!$A$145,Calculation!F9,"")</f>
        <v/>
      </c>
      <c r="G9" s="54" t="str">
        <f>IF(Calculation!E9=Calculation!$A$145,Calculation!G9,"")</f>
        <v/>
      </c>
      <c r="H9" s="54" t="str">
        <f>IF(Calculation!E9=Calculation!$A$145,Calculation!H9,"")</f>
        <v/>
      </c>
      <c r="I9" s="55"/>
      <c r="M9" s="74" t="s">
        <v>58</v>
      </c>
      <c r="P9" s="75">
        <v>45462.0</v>
      </c>
      <c r="R9" s="62"/>
      <c r="S9" s="62"/>
      <c r="T9" s="69"/>
      <c r="U9" s="70"/>
    </row>
    <row r="10">
      <c r="A10" s="52" t="str">
        <f>IF(Calculation!E10=Calculation!$A$145,Calculation!B10,"")</f>
        <v/>
      </c>
      <c r="B10" s="53" t="str">
        <f>IF(Calculation!E10=Calculation!$A$145,Calculation!I10,"")</f>
        <v/>
      </c>
      <c r="C10" s="52" t="str">
        <f>IF(Calculation!E10=Calculation!$A$145,Calculation!D10,"")</f>
        <v/>
      </c>
      <c r="D10" s="52" t="str">
        <f>IF(Calculation!E10=Calculation!$A$145,Calculation!$A$3,"")</f>
        <v/>
      </c>
      <c r="E10" s="52" t="str">
        <f>IF(Calculation!E10=Calculation!$A$145,Calculation!C10,"")</f>
        <v/>
      </c>
      <c r="F10" s="52" t="str">
        <f>IF(Calculation!E10=Calculation!$A$145,Calculation!F10,"")</f>
        <v/>
      </c>
      <c r="G10" s="54" t="str">
        <f>IF(Calculation!E10=Calculation!$A$145,Calculation!G10,"")</f>
        <v/>
      </c>
      <c r="H10" s="54" t="str">
        <f>IF(Calculation!E10=Calculation!$A$145,Calculation!H10,"")</f>
        <v/>
      </c>
      <c r="I10" s="55"/>
      <c r="M10" s="76"/>
      <c r="P10" s="62"/>
      <c r="R10" s="62"/>
      <c r="T10" s="69"/>
      <c r="U10" s="70"/>
    </row>
    <row r="11">
      <c r="A11" s="52" t="str">
        <f>IF(Calculation!E11=Calculation!$A$145,Calculation!B11,"")</f>
        <v/>
      </c>
      <c r="B11" s="53" t="str">
        <f>IF(Calculation!E11=Calculation!$A$145,Calculation!I11,"")</f>
        <v/>
      </c>
      <c r="C11" s="52" t="str">
        <f>IF(Calculation!E11=Calculation!$A$145,Calculation!D11,"")</f>
        <v/>
      </c>
      <c r="D11" s="52" t="str">
        <f>IF(Calculation!E11=Calculation!$A$145,Calculation!$A$3,"")</f>
        <v/>
      </c>
      <c r="E11" s="52" t="str">
        <f>IF(Calculation!E11=Calculation!$A$145,Calculation!C11,"")</f>
        <v/>
      </c>
      <c r="F11" s="52" t="str">
        <f>IF(Calculation!E11=Calculation!$A$145,Calculation!F11,"")</f>
        <v/>
      </c>
      <c r="G11" s="54" t="str">
        <f>IF(Calculation!E11=Calculation!$A$145,Calculation!G11,"")</f>
        <v/>
      </c>
      <c r="H11" s="54" t="str">
        <f>IF(Calculation!E11=Calculation!$A$145,Calculation!H11,"")</f>
        <v/>
      </c>
      <c r="I11" s="55"/>
      <c r="M11" s="77" t="s">
        <v>59</v>
      </c>
      <c r="P11" s="77" t="s">
        <v>60</v>
      </c>
      <c r="R11" s="77" t="s">
        <v>61</v>
      </c>
      <c r="T11" s="69"/>
      <c r="U11" s="70"/>
    </row>
    <row r="12">
      <c r="A12" s="52" t="str">
        <f>IF(Calculation!E12=Calculation!$A$145,Calculation!B12,"")</f>
        <v/>
      </c>
      <c r="B12" s="53" t="str">
        <f>IF(Calculation!E12=Calculation!$A$145,Calculation!I12,"")</f>
        <v/>
      </c>
      <c r="C12" s="52" t="str">
        <f>IF(Calculation!E12=Calculation!$A$145,Calculation!D12,"")</f>
        <v/>
      </c>
      <c r="D12" s="52" t="str">
        <f>IF(Calculation!E12=Calculation!$A$145,Calculation!$A$3,"")</f>
        <v/>
      </c>
      <c r="E12" s="52" t="str">
        <f>IF(Calculation!E12=Calculation!$A$145,Calculation!C12,"")</f>
        <v/>
      </c>
      <c r="F12" s="52" t="str">
        <f>IF(Calculation!E12=Calculation!$A$145,Calculation!F12,"")</f>
        <v/>
      </c>
      <c r="G12" s="54" t="str">
        <f>IF(Calculation!E12=Calculation!$A$145,Calculation!G12,"")</f>
        <v/>
      </c>
      <c r="H12" s="54" t="str">
        <f>IF(Calculation!E12=Calculation!$A$145,Calculation!H12,"")</f>
        <v/>
      </c>
      <c r="I12" s="55"/>
      <c r="M12" s="78" t="str">
        <f>Calculation!$A$145</f>
        <v>Rehan</v>
      </c>
      <c r="P12" s="78" t="str">
        <f>Calculation!$A$145</f>
        <v>Rehan</v>
      </c>
      <c r="R12" s="79">
        <v>123456.0</v>
      </c>
      <c r="T12" s="69"/>
      <c r="U12" s="70"/>
    </row>
    <row r="13">
      <c r="A13" s="57">
        <f>IF(Calculation!E13=Calculation!$A$145,Calculation!B13,"")</f>
        <v>45470</v>
      </c>
      <c r="B13" s="53">
        <f>IF(Calculation!E13=Calculation!$A$145,Calculation!I13,"")</f>
        <v>45987</v>
      </c>
      <c r="C13" s="52" t="str">
        <f>IF(Calculation!E13=Calculation!$A$145,Calculation!D13,"")</f>
        <v>Anu Shigha</v>
      </c>
      <c r="D13" s="52" t="str">
        <f>IF(Calculation!E13=Calculation!$A$145,Calculation!$A$3,"")</f>
        <v>Sony Tyres</v>
      </c>
      <c r="E13" s="52" t="str">
        <f>IF(Calculation!E13=Calculation!$A$145,Calculation!C13,"")</f>
        <v>Content for Poster</v>
      </c>
      <c r="F13" s="52">
        <f>IF(Calculation!E13=Calculation!$A$145,Calculation!F13,"")</f>
        <v>2</v>
      </c>
      <c r="G13" s="54">
        <f>IF(Calculation!E13=Calculation!$A$145,Calculation!G13,"")</f>
        <v>22</v>
      </c>
      <c r="H13" s="54">
        <f>IF(Calculation!E13=Calculation!$A$145,Calculation!H13,"")</f>
        <v>44</v>
      </c>
      <c r="I13" s="55"/>
      <c r="M13" s="78" t="s">
        <v>62</v>
      </c>
      <c r="P13" s="72"/>
      <c r="R13" s="62"/>
      <c r="T13" s="69"/>
      <c r="U13" s="70"/>
    </row>
    <row r="14">
      <c r="A14" s="52" t="str">
        <f>IF(Calculation!E14=Calculation!$A$145,Calculation!B14,"")</f>
        <v/>
      </c>
      <c r="B14" s="53" t="str">
        <f>IF(Calculation!E14=Calculation!$A$145,Calculation!I14,"")</f>
        <v/>
      </c>
      <c r="C14" s="52" t="str">
        <f>IF(Calculation!E14=Calculation!$A$145,Calculation!D14,"")</f>
        <v/>
      </c>
      <c r="D14" s="52" t="str">
        <f>IF(Calculation!E14=Calculation!$A$145,Calculation!$A$3,"")</f>
        <v/>
      </c>
      <c r="E14" s="52" t="str">
        <f>IF(Calculation!E14=Calculation!$A$145,Calculation!C14,"")</f>
        <v/>
      </c>
      <c r="F14" s="52" t="str">
        <f>IF(Calculation!E14=Calculation!$A$145,Calculation!F14,"")</f>
        <v/>
      </c>
      <c r="G14" s="54" t="str">
        <f>IF(Calculation!E14=Calculation!$A$145,Calculation!G14,"")</f>
        <v/>
      </c>
      <c r="H14" s="54" t="str">
        <f>IF(Calculation!E14=Calculation!$A$145,Calculation!H14,"")</f>
        <v/>
      </c>
      <c r="I14" s="55"/>
      <c r="M14" s="78" t="s">
        <v>63</v>
      </c>
      <c r="P14" s="80" t="s">
        <v>64</v>
      </c>
      <c r="R14" s="80" t="s">
        <v>65</v>
      </c>
      <c r="T14" s="69"/>
      <c r="U14" s="70"/>
    </row>
    <row r="15">
      <c r="A15" s="52" t="str">
        <f>IF(Calculation!E15=Calculation!$A$145,Calculation!B15,"")</f>
        <v/>
      </c>
      <c r="B15" s="53" t="str">
        <f>IF(Calculation!E15=Calculation!$A$145,Calculation!I15,"")</f>
        <v/>
      </c>
      <c r="C15" s="52" t="str">
        <f>IF(Calculation!E15=Calculation!$A$145,Calculation!D15,"")</f>
        <v/>
      </c>
      <c r="D15" s="52" t="str">
        <f>IF(Calculation!E15=Calculation!$A$145,Calculation!$A$3,"")</f>
        <v/>
      </c>
      <c r="E15" s="52" t="str">
        <f>IF(Calculation!E15=Calculation!$A$145,Calculation!C15,"")</f>
        <v/>
      </c>
      <c r="F15" s="52" t="str">
        <f>IF(Calculation!E15=Calculation!$A$145,Calculation!F15,"")</f>
        <v/>
      </c>
      <c r="G15" s="54" t="str">
        <f>IF(Calculation!E15=Calculation!$A$145,Calculation!G15,"")</f>
        <v/>
      </c>
      <c r="H15" s="54" t="str">
        <f>IF(Calculation!E15=Calculation!$A$145,Calculation!H15,"")</f>
        <v/>
      </c>
      <c r="I15" s="55"/>
      <c r="M15" s="78" t="s">
        <v>66</v>
      </c>
      <c r="P15" s="78" t="s">
        <v>67</v>
      </c>
      <c r="R15" s="75">
        <v>36531.0</v>
      </c>
      <c r="T15" s="69"/>
      <c r="U15" s="70"/>
    </row>
    <row r="16">
      <c r="A16" s="52" t="str">
        <f>IF(Calculation!E16=Calculation!$A$145,Calculation!B16,"")</f>
        <v/>
      </c>
      <c r="B16" s="53" t="str">
        <f>IF(Calculation!E16=Calculation!$A$145,Calculation!I16,"")</f>
        <v/>
      </c>
      <c r="C16" s="52" t="str">
        <f>IF(Calculation!E16=Calculation!$A$145,Calculation!D16,"")</f>
        <v/>
      </c>
      <c r="D16" s="52" t="str">
        <f>IF(Calculation!E16=Calculation!$A$145,Calculation!$A$16,"")</f>
        <v/>
      </c>
      <c r="E16" s="52" t="str">
        <f>IF(Calculation!E16=Calculation!$A$145,Calculation!C16,"")</f>
        <v/>
      </c>
      <c r="F16" s="52" t="str">
        <f>IF(Calculation!E16=Calculation!$A$145,Calculation!F16,"")</f>
        <v/>
      </c>
      <c r="G16" s="54" t="str">
        <f>IF(Calculation!E16=Calculation!$A$145,Calculation!G16,"")</f>
        <v/>
      </c>
      <c r="H16" s="54" t="str">
        <f>IF(Calculation!E16=Calculation!$A$145,Calculation!H16,"")</f>
        <v/>
      </c>
      <c r="I16" s="55"/>
      <c r="M16" s="81"/>
      <c r="N16" s="82"/>
      <c r="O16" s="82"/>
      <c r="P16" s="81"/>
      <c r="Q16" s="82"/>
      <c r="R16" s="81"/>
      <c r="S16" s="82"/>
      <c r="T16" s="62"/>
      <c r="U16" s="64"/>
    </row>
    <row r="17">
      <c r="A17" s="52" t="str">
        <f>IF(Calculation!E17=Calculation!$A$145,Calculation!B17,"")</f>
        <v/>
      </c>
      <c r="B17" s="53" t="str">
        <f>IF(Calculation!E17=Calculation!$A$145,Calculation!I17,"")</f>
        <v/>
      </c>
      <c r="C17" s="52" t="str">
        <f>IF(Calculation!E17=Calculation!$A$145,Calculation!D17,"")</f>
        <v/>
      </c>
      <c r="D17" s="52" t="str">
        <f>IF(Calculation!E17=Calculation!$A$145,Calculation!$A$16,"")</f>
        <v/>
      </c>
      <c r="E17" s="52" t="str">
        <f>IF(Calculation!E17=Calculation!$A$145,Calculation!C17,"")</f>
        <v/>
      </c>
      <c r="F17" s="52" t="str">
        <f>IF(Calculation!E17=Calculation!$A$145,Calculation!F17,"")</f>
        <v/>
      </c>
      <c r="G17" s="54" t="str">
        <f>IF(Calculation!E17=Calculation!$A$145,Calculation!G17,"")</f>
        <v/>
      </c>
      <c r="H17" s="54" t="str">
        <f>IF(Calculation!E17=Calculation!$A$145,Calculation!H17,"")</f>
        <v/>
      </c>
      <c r="I17" s="55"/>
      <c r="M17" s="62"/>
      <c r="N17" s="62"/>
      <c r="O17" s="62"/>
      <c r="P17" s="62"/>
      <c r="Q17" s="69"/>
      <c r="R17" s="62"/>
      <c r="S17" s="62"/>
      <c r="T17" s="69"/>
      <c r="U17" s="70"/>
    </row>
    <row r="18">
      <c r="A18" s="52" t="str">
        <f>IF(Calculation!E18=Calculation!$A$145,Calculation!B18,"")</f>
        <v/>
      </c>
      <c r="B18" s="53" t="str">
        <f>IF(Calculation!E18=Calculation!$A$145,Calculation!I18,"")</f>
        <v/>
      </c>
      <c r="C18" s="52" t="str">
        <f>IF(Calculation!E18=Calculation!$A$145,Calculation!D18,"")</f>
        <v/>
      </c>
      <c r="D18" s="52" t="str">
        <f>IF(Calculation!E18=Calculation!$A$145,Calculation!$A$16,"")</f>
        <v/>
      </c>
      <c r="E18" s="52" t="str">
        <f>IF(Calculation!E18=Calculation!$A$145,Calculation!C18,"")</f>
        <v/>
      </c>
      <c r="F18" s="52" t="str">
        <f>IF(Calculation!E18=Calculation!$A$145,Calculation!F18,"")</f>
        <v/>
      </c>
      <c r="G18" s="54" t="str">
        <f>IF(Calculation!E18=Calculation!$A$145,Calculation!G18,"")</f>
        <v/>
      </c>
      <c r="H18" s="54" t="str">
        <f>IF(Calculation!E18=Calculation!$A$145,Calculation!H18,"")</f>
        <v/>
      </c>
      <c r="I18" s="55"/>
      <c r="M18" s="83" t="s">
        <v>68</v>
      </c>
      <c r="Q18" s="84" t="s">
        <v>49</v>
      </c>
      <c r="R18" s="84" t="s">
        <v>69</v>
      </c>
      <c r="S18" s="84" t="s">
        <v>70</v>
      </c>
      <c r="T18" s="69"/>
      <c r="U18" s="70"/>
    </row>
    <row r="19" ht="23.25" customHeight="1">
      <c r="A19" s="52" t="str">
        <f>IF(Calculation!E19=Calculation!$A$145,Calculation!B19,"")</f>
        <v/>
      </c>
      <c r="B19" s="53" t="str">
        <f>IF(Calculation!E19=Calculation!$A$145,Calculation!I19,"")</f>
        <v/>
      </c>
      <c r="C19" s="52" t="str">
        <f>IF(Calculation!E19=Calculation!$A$145,Calculation!D19,"")</f>
        <v/>
      </c>
      <c r="D19" s="52" t="str">
        <f>IF(Calculation!E19=Calculation!$A$145,Calculation!$A$16,"")</f>
        <v/>
      </c>
      <c r="E19" s="52" t="str">
        <f>IF(Calculation!E19=Calculation!$A$145,Calculation!C19,"")</f>
        <v/>
      </c>
      <c r="F19" s="52" t="str">
        <f>IF(Calculation!E19=Calculation!$A$145,Calculation!F19,"")</f>
        <v/>
      </c>
      <c r="G19" s="54" t="str">
        <f>IF(Calculation!E19=Calculation!$A$145,Calculation!G19,"")</f>
        <v/>
      </c>
      <c r="H19" s="54" t="str">
        <f>IF(Calculation!E19=Calculation!$A$145,Calculation!H19,"")</f>
        <v/>
      </c>
      <c r="I19" s="55"/>
      <c r="M19" s="111" t="s">
        <v>34</v>
      </c>
      <c r="Q19" s="112">
        <f>SUMIFS(Calculation!$F$3:$F$125,Calculation!$C$3:$C$125,"Short Video Design",Calculation!$E$3:$E$125,Calculation!$A$145)</f>
        <v>0</v>
      </c>
      <c r="R19" s="87">
        <f>(Calculation!B145)</f>
        <v>23</v>
      </c>
      <c r="S19" s="88">
        <f t="shared" ref="S19:S23" si="1">product(Q19,R19)</f>
        <v>0</v>
      </c>
      <c r="T19" s="69"/>
      <c r="U19" s="70"/>
    </row>
    <row r="20" ht="18.0" customHeight="1">
      <c r="A20" s="52" t="str">
        <f>IF(Calculation!E20=Calculation!$A$145,Calculation!B20,"")</f>
        <v/>
      </c>
      <c r="B20" s="53" t="str">
        <f>IF(Calculation!E20=Calculation!$A$145,Calculation!I20,"")</f>
        <v/>
      </c>
      <c r="C20" s="52" t="str">
        <f>IF(Calculation!E20=Calculation!$A$145,Calculation!D20,"")</f>
        <v/>
      </c>
      <c r="D20" s="52" t="str">
        <f>IF(Calculation!E20=Calculation!$A$145,Calculation!$A$16,"")</f>
        <v/>
      </c>
      <c r="E20" s="52" t="str">
        <f>IF(Calculation!E20=Calculation!$A$145,Calculation!C20,"")</f>
        <v/>
      </c>
      <c r="F20" s="52" t="str">
        <f>IF(Calculation!E20=Calculation!$A$145,Calculation!F20,"")</f>
        <v/>
      </c>
      <c r="G20" s="54" t="str">
        <f>IF(Calculation!E20=Calculation!$A$145,Calculation!G20,"")</f>
        <v/>
      </c>
      <c r="H20" s="54" t="str">
        <f>IF(Calculation!E20=Calculation!$A$145,Calculation!H20,"")</f>
        <v/>
      </c>
      <c r="I20" s="55"/>
      <c r="M20" s="113" t="s">
        <v>35</v>
      </c>
      <c r="Q20" s="112">
        <f>SUMIFS(Calculation!$F$3:$F$125,Calculation!$C$3:$C$125,"Long Video Design",Calculation!$E$3:$E$125,Calculation!$A$145)</f>
        <v>0</v>
      </c>
      <c r="R20" s="87">
        <f>(Calculation!C145)</f>
        <v>20</v>
      </c>
      <c r="S20" s="90">
        <f t="shared" si="1"/>
        <v>0</v>
      </c>
      <c r="T20" s="69"/>
      <c r="U20" s="70"/>
    </row>
    <row r="21" ht="21.0" customHeight="1">
      <c r="A21" s="52" t="str">
        <f>IF(Calculation!E21=Calculation!$A$145,Calculation!B21,"")</f>
        <v/>
      </c>
      <c r="B21" s="53" t="str">
        <f>IF(Calculation!E21=Calculation!$A$145,Calculation!I21,"")</f>
        <v/>
      </c>
      <c r="C21" s="52" t="str">
        <f>IF(Calculation!E21=Calculation!$A$145,Calculation!D21,"")</f>
        <v/>
      </c>
      <c r="D21" s="52" t="str">
        <f>IF(Calculation!E21=Calculation!$A$145,Calculation!$A$16,"")</f>
        <v/>
      </c>
      <c r="E21" s="52" t="str">
        <f>IF(Calculation!E21=Calculation!$A$145,Calculation!C21,"")</f>
        <v/>
      </c>
      <c r="F21" s="52" t="str">
        <f>IF(Calculation!E21=Calculation!$A$145,Calculation!F21,"")</f>
        <v/>
      </c>
      <c r="G21" s="54" t="str">
        <f>IF(Calculation!E21=Calculation!$A$145,Calculation!G21,"")</f>
        <v/>
      </c>
      <c r="H21" s="54" t="str">
        <f>IF(Calculation!E21=Calculation!$A$145,Calculation!H21,"")</f>
        <v/>
      </c>
      <c r="I21" s="55"/>
      <c r="M21" s="114" t="s">
        <v>25</v>
      </c>
      <c r="Q21" s="112">
        <f>SUMIFS(Calculation!$F$3:$F$125,Calculation!$C$3:$C$125,"Content for Poster",Calculation!$E$3:$E$125,Calculation!$A$145)</f>
        <v>2</v>
      </c>
      <c r="R21" s="87">
        <f>(Calculation!D145)</f>
        <v>22</v>
      </c>
      <c r="S21" s="88">
        <f t="shared" si="1"/>
        <v>44</v>
      </c>
      <c r="T21" s="69"/>
      <c r="U21" s="70"/>
    </row>
    <row r="22" ht="21.0" customHeight="1">
      <c r="A22" s="52" t="str">
        <f>IF(Calculation!E22=Calculation!$A$145,Calculation!B22,"")</f>
        <v/>
      </c>
      <c r="B22" s="53" t="str">
        <f>IF(Calculation!E22=Calculation!$A$145,Calculation!I22,"")</f>
        <v/>
      </c>
      <c r="C22" s="52" t="str">
        <f>IF(Calculation!E22=Calculation!$A$145,Calculation!D22,"")</f>
        <v/>
      </c>
      <c r="D22" s="52" t="str">
        <f>IF(Calculation!E22=Calculation!$A$145,Calculation!$A$16,"")</f>
        <v/>
      </c>
      <c r="E22" s="52" t="str">
        <f>IF(Calculation!E22=Calculation!$A$145,Calculation!C22,"")</f>
        <v/>
      </c>
      <c r="F22" s="52" t="str">
        <f>IF(Calculation!E22=Calculation!$A$145,Calculation!F22,"")</f>
        <v/>
      </c>
      <c r="G22" s="54" t="str">
        <f>IF(Calculation!E22=Calculation!$A$145,Calculation!G22,"")</f>
        <v/>
      </c>
      <c r="H22" s="54" t="str">
        <f>IF(Calculation!E22=Calculation!$A$145,Calculation!H22,"")</f>
        <v/>
      </c>
      <c r="I22" s="55"/>
      <c r="M22" s="115" t="s">
        <v>36</v>
      </c>
      <c r="Q22" s="112">
        <f>SUMIFS(Calculation!$F$3:$F$125,Calculation!$C$3:$C$125,"Content for Video",Calculation!$E$3:$E$125,Calculation!$A$145)</f>
        <v>0</v>
      </c>
      <c r="R22" s="87">
        <f>(Calculation!E145)</f>
        <v>24</v>
      </c>
      <c r="S22" s="90">
        <f t="shared" si="1"/>
        <v>0</v>
      </c>
      <c r="T22" s="69"/>
      <c r="U22" s="70"/>
    </row>
    <row r="23" ht="20.25" customHeight="1">
      <c r="A23" s="52" t="str">
        <f>IF(Calculation!E23=Calculation!$A$145,Calculation!B23,"")</f>
        <v/>
      </c>
      <c r="B23" s="53" t="str">
        <f>IF(Calculation!E23=Calculation!$A$145,Calculation!I23,"")</f>
        <v/>
      </c>
      <c r="C23" s="52" t="str">
        <f>IF(Calculation!E23=Calculation!$A$145,Calculation!D23,"")</f>
        <v/>
      </c>
      <c r="D23" s="52" t="str">
        <f>IF(Calculation!E23=Calculation!$A$145,Calculation!$A$16,"")</f>
        <v/>
      </c>
      <c r="E23" s="52" t="str">
        <f>IF(Calculation!E23=Calculation!$A$145,Calculation!C23,"")</f>
        <v/>
      </c>
      <c r="F23" s="52" t="str">
        <f>IF(Calculation!E23=Calculation!$A$145,Calculation!F23,"")</f>
        <v/>
      </c>
      <c r="G23" s="54" t="str">
        <f>IF(Calculation!E23=Calculation!$A$145,Calculation!G23,"")</f>
        <v/>
      </c>
      <c r="H23" s="54" t="str">
        <f>IF(Calculation!E23=Calculation!$A$145,Calculation!H23,"")</f>
        <v/>
      </c>
      <c r="I23" s="55"/>
      <c r="M23" s="116" t="s">
        <v>16</v>
      </c>
      <c r="N23" s="116"/>
      <c r="O23" s="117"/>
      <c r="P23" s="117"/>
      <c r="Q23" s="112">
        <f>SUMIFS(Calculation!$F$3:$F$125,Calculation!$C$3:$C$125,"Poster Design",Calculation!$E$3:$E$125,Calculation!$A$145)</f>
        <v>0</v>
      </c>
      <c r="R23" s="95">
        <f>(Calculation!F145)</f>
        <v>26</v>
      </c>
      <c r="S23" s="96">
        <f t="shared" si="1"/>
        <v>0</v>
      </c>
      <c r="T23" s="69"/>
      <c r="U23" s="70"/>
    </row>
    <row r="24">
      <c r="A24" s="52" t="str">
        <f>IF(Calculation!E24=Calculation!$A$145,Calculation!B24,"")</f>
        <v/>
      </c>
      <c r="B24" s="53" t="str">
        <f>IF(Calculation!E24=Calculation!$A$145,Calculation!I24,"")</f>
        <v/>
      </c>
      <c r="C24" s="52" t="str">
        <f>IF(Calculation!E24=Calculation!$A$145,Calculation!D24,"")</f>
        <v/>
      </c>
      <c r="D24" s="52" t="str">
        <f>IF(Calculation!E24=Calculation!$A$145,Calculation!$A$16,"")</f>
        <v/>
      </c>
      <c r="E24" s="52" t="str">
        <f>IF(Calculation!E24=Calculation!$A$145,Calculation!C24,"")</f>
        <v/>
      </c>
      <c r="F24" s="52" t="str">
        <f>IF(Calculation!E24=Calculation!$A$145,Calculation!F24,"")</f>
        <v/>
      </c>
      <c r="G24" s="54" t="str">
        <f>IF(Calculation!E24=Calculation!$A$145,Calculation!G24,"")</f>
        <v/>
      </c>
      <c r="H24" s="54" t="str">
        <f>IF(Calculation!E24=Calculation!$A$145,Calculation!H24,"")</f>
        <v/>
      </c>
      <c r="I24" s="55"/>
      <c r="M24" s="118" t="s">
        <v>71</v>
      </c>
      <c r="N24" s="118"/>
      <c r="O24" s="119"/>
      <c r="R24" s="109" t="s">
        <v>72</v>
      </c>
      <c r="S24" s="99">
        <f>sum(S19:S23)</f>
        <v>44</v>
      </c>
      <c r="T24" s="62"/>
      <c r="U24" s="64"/>
    </row>
    <row r="25">
      <c r="A25" s="52" t="str">
        <f>IF(Calculation!E25=Calculation!$A$145,Calculation!B25,"")</f>
        <v/>
      </c>
      <c r="B25" s="53" t="str">
        <f>IF(Calculation!E25=Calculation!$A$145,Calculation!I25,"")</f>
        <v/>
      </c>
      <c r="C25" s="52" t="str">
        <f>IF(Calculation!E25=Calculation!$A$145,Calculation!D25,"")</f>
        <v/>
      </c>
      <c r="D25" s="52" t="str">
        <f>IF(Calculation!E25=Calculation!$A$145,Calculation!$A$16,"")</f>
        <v/>
      </c>
      <c r="E25" s="52" t="str">
        <f>IF(Calculation!E25=Calculation!$A$145,Calculation!C25,"")</f>
        <v/>
      </c>
      <c r="F25" s="52" t="str">
        <f>IF(Calculation!E25=Calculation!$A$145,Calculation!F25,"")</f>
        <v/>
      </c>
      <c r="G25" s="54" t="str">
        <f>IF(Calculation!E25=Calculation!$A$145,Calculation!G25,"")</f>
        <v/>
      </c>
      <c r="H25" s="54" t="str">
        <f>IF(Calculation!E25=Calculation!$A$145,Calculation!H25,"")</f>
        <v/>
      </c>
      <c r="I25" s="55"/>
      <c r="M25" s="119"/>
      <c r="N25" s="119"/>
      <c r="O25" s="119"/>
      <c r="R25" s="109" t="s">
        <v>73</v>
      </c>
      <c r="S25" s="100">
        <v>0.0</v>
      </c>
      <c r="T25" s="62"/>
      <c r="U25" s="64"/>
    </row>
    <row r="26">
      <c r="A26" s="52" t="str">
        <f>IF(Calculation!E26=Calculation!$A$145,Calculation!B26,"")</f>
        <v/>
      </c>
      <c r="B26" s="53" t="str">
        <f>IF(Calculation!E26=Calculation!$A$145,Calculation!I26,"")</f>
        <v/>
      </c>
      <c r="C26" s="52" t="str">
        <f>IF(Calculation!E26=Calculation!$A$145,Calculation!D26,"")</f>
        <v/>
      </c>
      <c r="D26" s="52" t="str">
        <f>IF(Calculation!E26=Calculation!$A$145,Calculation!$A$16,"")</f>
        <v/>
      </c>
      <c r="E26" s="52" t="str">
        <f>IF(Calculation!E26=Calculation!$A$145,Calculation!C26,"")</f>
        <v/>
      </c>
      <c r="F26" s="52" t="str">
        <f>IF(Calculation!E26=Calculation!$A$145,Calculation!F26,"")</f>
        <v/>
      </c>
      <c r="G26" s="54" t="str">
        <f>IF(Calculation!E26=Calculation!$A$145,Calculation!G26,"")</f>
        <v/>
      </c>
      <c r="H26" s="54" t="str">
        <f>IF(Calculation!E26=Calculation!$A$145,Calculation!H26,"")</f>
        <v/>
      </c>
      <c r="I26" s="55"/>
      <c r="M26" s="120"/>
      <c r="N26" s="120"/>
      <c r="O26" s="120"/>
      <c r="P26" s="120"/>
      <c r="Q26" s="120"/>
      <c r="R26" s="101">
        <f>sum(S24,S25)</f>
        <v>44</v>
      </c>
      <c r="T26" s="69"/>
      <c r="U26" s="70"/>
    </row>
    <row r="27">
      <c r="A27" s="52" t="str">
        <f>IF(Calculation!E27=Calculation!$A$145,Calculation!B27,"")</f>
        <v/>
      </c>
      <c r="B27" s="53" t="str">
        <f>IF(Calculation!E27=Calculation!$A$145,Calculation!I27,"")</f>
        <v/>
      </c>
      <c r="C27" s="52" t="str">
        <f>IF(Calculation!E27=Calculation!$A$145,Calculation!D27,"")</f>
        <v/>
      </c>
      <c r="D27" s="52" t="str">
        <f>IF(Calculation!E27=Calculation!$A$145,Calculation!$A$16,"")</f>
        <v/>
      </c>
      <c r="E27" s="52" t="str">
        <f>IF(Calculation!E27=Calculation!$A$145,Calculation!C27,"")</f>
        <v/>
      </c>
      <c r="F27" s="52" t="str">
        <f>IF(Calculation!E27=Calculation!$A$145,Calculation!F27,"")</f>
        <v/>
      </c>
      <c r="G27" s="54" t="str">
        <f>IF(Calculation!E27=Calculation!$A$145,Calculation!G27,"")</f>
        <v/>
      </c>
      <c r="H27" s="54" t="str">
        <f>IF(Calculation!E27=Calculation!$A$145,Calculation!H27,"")</f>
        <v/>
      </c>
      <c r="I27" s="55"/>
      <c r="M27" s="102"/>
      <c r="N27" s="102"/>
      <c r="O27" s="69"/>
      <c r="P27" s="69"/>
      <c r="Q27" s="69"/>
      <c r="R27" s="69"/>
      <c r="S27" s="69"/>
      <c r="T27" s="69"/>
      <c r="U27" s="70"/>
    </row>
    <row r="28">
      <c r="A28" s="52" t="str">
        <f>IF(Calculation!E28=Calculation!$A$145,Calculation!B28,"")</f>
        <v/>
      </c>
      <c r="B28" s="53" t="str">
        <f>IF(Calculation!E28=Calculation!$A$145,Calculation!I28,"")</f>
        <v/>
      </c>
      <c r="C28" s="52" t="str">
        <f>IF(Calculation!E28=Calculation!$A$145,Calculation!D28,"")</f>
        <v/>
      </c>
      <c r="D28" s="52" t="str">
        <f>IF(Calculation!E28=Calculation!$A$145,Calculation!$A$16,"")</f>
        <v/>
      </c>
      <c r="E28" s="52" t="str">
        <f>IF(Calculation!E28=Calculation!$A$145,Calculation!C28,"")</f>
        <v/>
      </c>
      <c r="F28" s="52" t="str">
        <f>IF(Calculation!E28=Calculation!$A$145,Calculation!F28,"")</f>
        <v/>
      </c>
      <c r="G28" s="54" t="str">
        <f>IF(Calculation!E28=Calculation!$A$145,Calculation!G28,"")</f>
        <v/>
      </c>
      <c r="H28" s="54" t="str">
        <f>IF(Calculation!E28=Calculation!$A$145,Calculation!H28,"")</f>
        <v/>
      </c>
      <c r="I28" s="55"/>
      <c r="U28" s="103"/>
    </row>
    <row r="29">
      <c r="A29" s="52" t="str">
        <f>IF(Calculation!E29=Calculation!$A$145,Calculation!B29,"")</f>
        <v/>
      </c>
      <c r="B29" s="53" t="str">
        <f>IF(Calculation!E29=Calculation!$A$145,Calculation!I29,"")</f>
        <v/>
      </c>
      <c r="C29" s="52" t="str">
        <f>IF(Calculation!E29=Calculation!$A$145,Calculation!D29,"")</f>
        <v/>
      </c>
      <c r="D29" s="52" t="str">
        <f>IF(Calculation!E29=Calculation!$A$145,Calculation!$A$29,"")</f>
        <v/>
      </c>
      <c r="E29" s="52" t="str">
        <f>IF(Calculation!E29=Calculation!$A$145,Calculation!C29,"")</f>
        <v/>
      </c>
      <c r="F29" s="52" t="str">
        <f>IF(Calculation!E29=Calculation!$A$145,Calculation!F29,"")</f>
        <v/>
      </c>
      <c r="G29" s="54" t="str">
        <f>IF(Calculation!E29=Calculation!$A$145,Calculation!G29,"")</f>
        <v/>
      </c>
      <c r="H29" s="54" t="str">
        <f>IF(Calculation!E29=Calculation!$A$145,Calculation!H29,"")</f>
        <v/>
      </c>
      <c r="I29" s="55"/>
      <c r="U29" s="103"/>
    </row>
    <row r="30">
      <c r="A30" s="52" t="str">
        <f>IF(Calculation!E30=Calculation!$A$145,Calculation!B30,"")</f>
        <v/>
      </c>
      <c r="B30" s="53" t="str">
        <f>IF(Calculation!E30=Calculation!$A$145,Calculation!I30,"")</f>
        <v/>
      </c>
      <c r="C30" s="52" t="str">
        <f>IF(Calculation!E30=Calculation!$A$145,Calculation!D30,"")</f>
        <v/>
      </c>
      <c r="D30" s="52" t="str">
        <f>IF(Calculation!E30=Calculation!$A$145,Calculation!$A$29,"")</f>
        <v/>
      </c>
      <c r="E30" s="52" t="str">
        <f>IF(Calculation!E30=Calculation!$A$145,Calculation!C30,"")</f>
        <v/>
      </c>
      <c r="F30" s="52" t="str">
        <f>IF(Calculation!E30=Calculation!$A$145,Calculation!F30,"")</f>
        <v/>
      </c>
      <c r="G30" s="54" t="str">
        <f>IF(Calculation!E30=Calculation!$A$145,Calculation!G30,"")</f>
        <v/>
      </c>
      <c r="H30" s="54" t="str">
        <f>IF(Calculation!E30=Calculation!$A$145,Calculation!H30,"")</f>
        <v/>
      </c>
      <c r="I30" s="55"/>
      <c r="U30" s="103"/>
    </row>
    <row r="31">
      <c r="A31" s="52" t="str">
        <f>IF(Calculation!E31=Calculation!$A$145,Calculation!B31,"")</f>
        <v/>
      </c>
      <c r="B31" s="53" t="str">
        <f>IF(Calculation!E31=Calculation!$A$145,Calculation!I31,"")</f>
        <v/>
      </c>
      <c r="C31" s="52" t="str">
        <f>IF(Calculation!E31=Calculation!$A$145,Calculation!D31,"")</f>
        <v/>
      </c>
      <c r="D31" s="52" t="str">
        <f>IF(Calculation!E31=Calculation!$A$145,Calculation!$A$29,"")</f>
        <v/>
      </c>
      <c r="E31" s="52" t="str">
        <f>IF(Calculation!E31=Calculation!$A$145,Calculation!C31,"")</f>
        <v/>
      </c>
      <c r="F31" s="52" t="str">
        <f>IF(Calculation!E31=Calculation!$A$145,Calculation!F31,"")</f>
        <v/>
      </c>
      <c r="G31" s="54" t="str">
        <f>IF(Calculation!E31=Calculation!$A$145,Calculation!G31,"")</f>
        <v/>
      </c>
      <c r="H31" s="54" t="str">
        <f>IF(Calculation!E31=Calculation!$A$145,Calculation!H31,"")</f>
        <v/>
      </c>
      <c r="I31" s="55"/>
      <c r="U31" s="103"/>
    </row>
    <row r="32">
      <c r="A32" s="52" t="str">
        <f>IF(Calculation!E32=Calculation!$A$145,Calculation!B32,"")</f>
        <v/>
      </c>
      <c r="B32" s="53" t="str">
        <f>IF(Calculation!E32=Calculation!$A$145,Calculation!I32,"")</f>
        <v/>
      </c>
      <c r="C32" s="52" t="str">
        <f>IF(Calculation!E32=Calculation!$A$145,Calculation!D32,"")</f>
        <v/>
      </c>
      <c r="D32" s="52" t="str">
        <f>IF(Calculation!E32=Calculation!$A$145,Calculation!$A$29,"")</f>
        <v/>
      </c>
      <c r="E32" s="52" t="str">
        <f>IF(Calculation!E32=Calculation!$A$145,Calculation!C32,"")</f>
        <v/>
      </c>
      <c r="F32" s="52" t="str">
        <f>IF(Calculation!E32=Calculation!$A$145,Calculation!F32,"")</f>
        <v/>
      </c>
      <c r="G32" s="54" t="str">
        <f>IF(Calculation!E32=Calculation!$A$145,Calculation!G32,"")</f>
        <v/>
      </c>
      <c r="H32" s="54" t="str">
        <f>IF(Calculation!E32=Calculation!$A$145,Calculation!H32,"")</f>
        <v/>
      </c>
      <c r="I32" s="55"/>
      <c r="U32" s="103"/>
    </row>
    <row r="33">
      <c r="A33" s="52" t="str">
        <f>IF(Calculation!E33=Calculation!$A$145,Calculation!B33,"")</f>
        <v/>
      </c>
      <c r="B33" s="53" t="str">
        <f>IF(Calculation!E33=Calculation!$A$145,Calculation!I33,"")</f>
        <v/>
      </c>
      <c r="C33" s="52" t="str">
        <f>IF(Calculation!E33=Calculation!$A$145,Calculation!D33,"")</f>
        <v/>
      </c>
      <c r="D33" s="52" t="str">
        <f>IF(Calculation!E33=Calculation!$A$145,Calculation!$A$29,"")</f>
        <v/>
      </c>
      <c r="E33" s="52" t="str">
        <f>IF(Calculation!E33=Calculation!$A$145,Calculation!C33,"")</f>
        <v/>
      </c>
      <c r="F33" s="52" t="str">
        <f>IF(Calculation!E33=Calculation!$A$145,Calculation!F33,"")</f>
        <v/>
      </c>
      <c r="G33" s="54" t="str">
        <f>IF(Calculation!E33=Calculation!$A$145,Calculation!G33,"")</f>
        <v/>
      </c>
      <c r="H33" s="54" t="str">
        <f>IF(Calculation!E33=Calculation!$A$145,Calculation!H33,"")</f>
        <v/>
      </c>
      <c r="I33" s="55"/>
      <c r="U33" s="103"/>
    </row>
    <row r="34">
      <c r="A34" s="52" t="str">
        <f>IF(Calculation!E34=Calculation!$A$145,Calculation!B34,"")</f>
        <v/>
      </c>
      <c r="B34" s="53" t="str">
        <f>IF(Calculation!E34=Calculation!$A$145,Calculation!I34,"")</f>
        <v/>
      </c>
      <c r="C34" s="52" t="str">
        <f>IF(Calculation!E34=Calculation!$A$145,Calculation!D34,"")</f>
        <v/>
      </c>
      <c r="D34" s="52" t="str">
        <f>IF(Calculation!E34=Calculation!$A$145,Calculation!$A$29,"")</f>
        <v/>
      </c>
      <c r="E34" s="52" t="str">
        <f>IF(Calculation!E34=Calculation!$A$145,Calculation!C34,"")</f>
        <v/>
      </c>
      <c r="F34" s="52" t="str">
        <f>IF(Calculation!E34=Calculation!$A$145,Calculation!F34,"")</f>
        <v/>
      </c>
      <c r="G34" s="54" t="str">
        <f>IF(Calculation!E34=Calculation!$A$145,Calculation!G34,"")</f>
        <v/>
      </c>
      <c r="H34" s="54" t="str">
        <f>IF(Calculation!E34=Calculation!$A$145,Calculation!H34,"")</f>
        <v/>
      </c>
      <c r="I34" s="55"/>
      <c r="U34" s="103"/>
    </row>
    <row r="35">
      <c r="A35" s="52" t="str">
        <f>IF(Calculation!E35=Calculation!$A$145,Calculation!B35,"")</f>
        <v/>
      </c>
      <c r="B35" s="53" t="str">
        <f>IF(Calculation!E35=Calculation!$A$145,Calculation!I35,"")</f>
        <v/>
      </c>
      <c r="C35" s="52" t="str">
        <f>IF(Calculation!E35=Calculation!$A$145,Calculation!D35,"")</f>
        <v/>
      </c>
      <c r="D35" s="52" t="str">
        <f>IF(Calculation!E35=Calculation!$A$145,Calculation!$A$29,"")</f>
        <v/>
      </c>
      <c r="E35" s="52" t="str">
        <f>IF(Calculation!E35=Calculation!$A$145,Calculation!C35,"")</f>
        <v/>
      </c>
      <c r="F35" s="52" t="str">
        <f>IF(Calculation!E35=Calculation!$A$145,Calculation!F35,"")</f>
        <v/>
      </c>
      <c r="G35" s="54" t="str">
        <f>IF(Calculation!E35=Calculation!$A$145,Calculation!G35,"")</f>
        <v/>
      </c>
      <c r="H35" s="54" t="str">
        <f>IF(Calculation!E35=Calculation!$A$145,Calculation!H35,"")</f>
        <v/>
      </c>
      <c r="I35" s="55"/>
      <c r="U35" s="103"/>
    </row>
    <row r="36">
      <c r="A36" s="52" t="str">
        <f>IF(Calculation!E36=Calculation!$A$145,Calculation!B36,"")</f>
        <v/>
      </c>
      <c r="B36" s="53" t="str">
        <f>IF(Calculation!E36=Calculation!$A$145,Calculation!I36,"")</f>
        <v/>
      </c>
      <c r="C36" s="52" t="str">
        <f>IF(Calculation!E36=Calculation!$A$145,Calculation!D36,"")</f>
        <v/>
      </c>
      <c r="D36" s="52" t="str">
        <f>IF(Calculation!E36=Calculation!$A$145,Calculation!$A$29,"")</f>
        <v/>
      </c>
      <c r="E36" s="52" t="str">
        <f>IF(Calculation!E36=Calculation!$A$145,Calculation!C36,"")</f>
        <v/>
      </c>
      <c r="F36" s="52" t="str">
        <f>IF(Calculation!E36=Calculation!$A$145,Calculation!F36,"")</f>
        <v/>
      </c>
      <c r="G36" s="54" t="str">
        <f>IF(Calculation!E36=Calculation!$A$145,Calculation!G36,"")</f>
        <v/>
      </c>
      <c r="H36" s="54" t="str">
        <f>IF(Calculation!E36=Calculation!$A$145,Calculation!H36,"")</f>
        <v/>
      </c>
      <c r="I36" s="55"/>
      <c r="U36" s="103"/>
    </row>
    <row r="37">
      <c r="A37" s="52" t="str">
        <f>IF(Calculation!E37=Calculation!$A$145,Calculation!B37,"")</f>
        <v/>
      </c>
      <c r="B37" s="53" t="str">
        <f>IF(Calculation!E37=Calculation!$A$145,Calculation!I37,"")</f>
        <v/>
      </c>
      <c r="C37" s="52" t="str">
        <f>IF(Calculation!E37=Calculation!$A$145,Calculation!D37,"")</f>
        <v/>
      </c>
      <c r="D37" s="52" t="str">
        <f>IF(Calculation!E37=Calculation!$A$145,Calculation!$A$29,"")</f>
        <v/>
      </c>
      <c r="E37" s="52" t="str">
        <f>IF(Calculation!E37=Calculation!$A$145,Calculation!C37,"")</f>
        <v/>
      </c>
      <c r="F37" s="52" t="str">
        <f>IF(Calculation!E37=Calculation!$A$145,Calculation!F37,"")</f>
        <v/>
      </c>
      <c r="G37" s="54" t="str">
        <f>IF(Calculation!E37=Calculation!$A$145,Calculation!G37,"")</f>
        <v/>
      </c>
      <c r="H37" s="54" t="str">
        <f>IF(Calculation!E37=Calculation!$A$145,Calculation!H37,"")</f>
        <v/>
      </c>
      <c r="I37" s="55"/>
      <c r="U37" s="103"/>
    </row>
    <row r="38">
      <c r="A38" s="52" t="str">
        <f>IF(Calculation!E38=Calculation!$A$145,Calculation!B38,"")</f>
        <v/>
      </c>
      <c r="B38" s="53" t="str">
        <f>IF(Calculation!E38=Calculation!$A$145,Calculation!I38,"")</f>
        <v/>
      </c>
      <c r="C38" s="52" t="str">
        <f>IF(Calculation!E38=Calculation!$A$145,Calculation!D38,"")</f>
        <v/>
      </c>
      <c r="D38" s="52" t="str">
        <f>IF(Calculation!E38=Calculation!$A$145,Calculation!$A$29,"")</f>
        <v/>
      </c>
      <c r="E38" s="52" t="str">
        <f>IF(Calculation!E38=Calculation!$A$145,Calculation!C38,"")</f>
        <v/>
      </c>
      <c r="F38" s="52" t="str">
        <f>IF(Calculation!E38=Calculation!$A$145,Calculation!F38,"")</f>
        <v/>
      </c>
      <c r="G38" s="54" t="str">
        <f>IF(Calculation!E38=Calculation!$A$145,Calculation!G38,"")</f>
        <v/>
      </c>
      <c r="H38" s="54" t="str">
        <f>IF(Calculation!E38=Calculation!$A$145,Calculation!H38,"")</f>
        <v/>
      </c>
      <c r="I38" s="55"/>
      <c r="U38" s="103"/>
    </row>
    <row r="39">
      <c r="A39" s="52" t="str">
        <f>IF(Calculation!E39=Calculation!$A$145,Calculation!B39,"")</f>
        <v/>
      </c>
      <c r="B39" s="53" t="str">
        <f>IF(Calculation!E39=Calculation!$A$145,Calculation!I39,"")</f>
        <v/>
      </c>
      <c r="C39" s="52" t="str">
        <f>IF(Calculation!E39=Calculation!$A$145,Calculation!D39,"")</f>
        <v/>
      </c>
      <c r="D39" s="52" t="str">
        <f>IF(Calculation!E39=Calculation!$A$145,Calculation!$A$29,"")</f>
        <v/>
      </c>
      <c r="E39" s="52" t="str">
        <f>IF(Calculation!E39=Calculation!$A$145,Calculation!C39,"")</f>
        <v/>
      </c>
      <c r="F39" s="52" t="str">
        <f>IF(Calculation!E39=Calculation!$A$145,Calculation!F39,"")</f>
        <v/>
      </c>
      <c r="G39" s="54" t="str">
        <f>IF(Calculation!E39=Calculation!$A$145,Calculation!G39,"")</f>
        <v/>
      </c>
      <c r="H39" s="54" t="str">
        <f>IF(Calculation!E39=Calculation!$A$145,Calculation!H39,"")</f>
        <v/>
      </c>
      <c r="I39" s="55"/>
      <c r="U39" s="103"/>
    </row>
    <row r="40">
      <c r="A40" s="52" t="str">
        <f>IF(Calculation!E40=Calculation!$A$145,Calculation!B40,"")</f>
        <v/>
      </c>
      <c r="B40" s="53" t="str">
        <f>IF(Calculation!E40=Calculation!$A$145,Calculation!I40,"")</f>
        <v/>
      </c>
      <c r="C40" s="52" t="str">
        <f>IF(Calculation!E40=Calculation!$A$145,Calculation!D40,"")</f>
        <v/>
      </c>
      <c r="D40" s="52" t="str">
        <f>IF(Calculation!E40=Calculation!$A$145,Calculation!$A$29,"")</f>
        <v/>
      </c>
      <c r="E40" s="52" t="str">
        <f>IF(Calculation!E40=Calculation!$A$145,Calculation!C40,"")</f>
        <v/>
      </c>
      <c r="F40" s="52" t="str">
        <f>IF(Calculation!E40=Calculation!$A$145,Calculation!F40,"")</f>
        <v/>
      </c>
      <c r="G40" s="54" t="str">
        <f>IF(Calculation!E40=Calculation!$A$145,Calculation!G40,"")</f>
        <v/>
      </c>
      <c r="H40" s="54" t="str">
        <f>IF(Calculation!E40=Calculation!$A$145,Calculation!H40,"")</f>
        <v/>
      </c>
      <c r="I40" s="55"/>
      <c r="M40" s="104"/>
      <c r="N40" s="104"/>
      <c r="O40" s="104"/>
      <c r="P40" s="104"/>
      <c r="Q40" s="104"/>
      <c r="R40" s="104"/>
      <c r="S40" s="104"/>
      <c r="T40" s="104"/>
      <c r="U40" s="105"/>
    </row>
    <row r="41">
      <c r="A41" s="52" t="str">
        <f>IF(Calculation!E41=Calculation!$A$145,Calculation!B41,"")</f>
        <v/>
      </c>
      <c r="B41" s="53" t="str">
        <f>IF(Calculation!E41=Calculation!$A$145,Calculation!I41,"")</f>
        <v/>
      </c>
      <c r="C41" s="52" t="str">
        <f>IF(Calculation!E41=Calculation!$A$145,Calculation!D41,"")</f>
        <v/>
      </c>
      <c r="D41" s="52" t="str">
        <f>IF(Calculation!E41=Calculation!$A$145,Calculation!$A$41,"")</f>
        <v/>
      </c>
      <c r="E41" s="52" t="str">
        <f>IF(Calculation!E41=Calculation!$A$145,Calculation!C41,"")</f>
        <v/>
      </c>
      <c r="F41" s="52" t="str">
        <f>IF(Calculation!E41=Calculation!$A$145,Calculation!F41,"")</f>
        <v/>
      </c>
      <c r="G41" s="54" t="str">
        <f>IF(Calculation!E41=Calculation!$A$145,Calculation!G41,"")</f>
        <v/>
      </c>
      <c r="H41" s="54" t="str">
        <f>IF(Calculation!E41=Calculation!$A$145,Calculation!H41,"")</f>
        <v/>
      </c>
      <c r="I41" s="55"/>
    </row>
    <row r="42">
      <c r="A42" s="52" t="str">
        <f>IF(Calculation!E42=Calculation!$A$145,Calculation!B42,"")</f>
        <v/>
      </c>
      <c r="B42" s="53" t="str">
        <f>IF(Calculation!E42=Calculation!$A$145,Calculation!I42,"")</f>
        <v/>
      </c>
      <c r="C42" s="52" t="str">
        <f>IF(Calculation!E42=Calculation!$A$145,Calculation!D42,"")</f>
        <v/>
      </c>
      <c r="D42" s="52" t="str">
        <f>IF(Calculation!E42=Calculation!$A$145,Calculation!$A$41,"")</f>
        <v/>
      </c>
      <c r="E42" s="52" t="str">
        <f>IF(Calculation!E42=Calculation!$A$145,Calculation!C42,"")</f>
        <v/>
      </c>
      <c r="F42" s="52" t="str">
        <f>IF(Calculation!E42=Calculation!$A$145,Calculation!F42,"")</f>
        <v/>
      </c>
      <c r="G42" s="54" t="str">
        <f>IF(Calculation!E42=Calculation!$A$145,Calculation!G42,"")</f>
        <v/>
      </c>
      <c r="H42" s="54" t="str">
        <f>IF(Calculation!E42=Calculation!$A$145,Calculation!H42,"")</f>
        <v/>
      </c>
      <c r="I42" s="55"/>
    </row>
    <row r="43">
      <c r="A43" s="52" t="str">
        <f>IF(Calculation!E43=Calculation!$A$145,Calculation!B43,"")</f>
        <v/>
      </c>
      <c r="B43" s="53" t="str">
        <f>IF(Calculation!E43=Calculation!$A$145,Calculation!I43,"")</f>
        <v/>
      </c>
      <c r="C43" s="52" t="str">
        <f>IF(Calculation!E43=Calculation!$A$145,Calculation!D43,"")</f>
        <v/>
      </c>
      <c r="D43" s="52" t="str">
        <f>IF(Calculation!E43=Calculation!$A$145,Calculation!$A$41,"")</f>
        <v/>
      </c>
      <c r="E43" s="52" t="str">
        <f>IF(Calculation!E43=Calculation!$A$145,Calculation!C43,"")</f>
        <v/>
      </c>
      <c r="F43" s="52" t="str">
        <f>IF(Calculation!E43=Calculation!$A$145,Calculation!F43,"")</f>
        <v/>
      </c>
      <c r="G43" s="54" t="str">
        <f>IF(Calculation!E43=Calculation!$A$145,Calculation!G43,"")</f>
        <v/>
      </c>
      <c r="H43" s="54" t="str">
        <f>IF(Calculation!E43=Calculation!$A$145,Calculation!H43,"")</f>
        <v/>
      </c>
      <c r="I43" s="55"/>
    </row>
    <row r="44">
      <c r="A44" s="52" t="str">
        <f>IF(Calculation!E44=Calculation!$A$145,Calculation!B44,"")</f>
        <v/>
      </c>
      <c r="B44" s="53" t="str">
        <f>IF(Calculation!E44=Calculation!$A$145,Calculation!I44,"")</f>
        <v/>
      </c>
      <c r="C44" s="52" t="str">
        <f>IF(Calculation!E44=Calculation!$A$145,Calculation!D44,"")</f>
        <v/>
      </c>
      <c r="D44" s="52" t="str">
        <f>IF(Calculation!E44=Calculation!$A$145,Calculation!$A$41,"")</f>
        <v/>
      </c>
      <c r="E44" s="52" t="str">
        <f>IF(Calculation!E44=Calculation!$A$145,Calculation!C44,"")</f>
        <v/>
      </c>
      <c r="F44" s="52" t="str">
        <f>IF(Calculation!E44=Calculation!$A$145,Calculation!F44,"")</f>
        <v/>
      </c>
      <c r="G44" s="54" t="str">
        <f>IF(Calculation!E44=Calculation!$A$145,Calculation!G44,"")</f>
        <v/>
      </c>
      <c r="H44" s="54" t="str">
        <f>IF(Calculation!E44=Calculation!$A$145,Calculation!H44,"")</f>
        <v/>
      </c>
      <c r="I44" s="55"/>
    </row>
    <row r="45">
      <c r="A45" s="52" t="str">
        <f>IF(Calculation!E45=Calculation!$A$145,Calculation!B45,"")</f>
        <v/>
      </c>
      <c r="B45" s="53" t="str">
        <f>IF(Calculation!E45=Calculation!$A$145,Calculation!I45,"")</f>
        <v/>
      </c>
      <c r="C45" s="52" t="str">
        <f>IF(Calculation!E45=Calculation!$A$145,Calculation!D45,"")</f>
        <v/>
      </c>
      <c r="D45" s="52" t="str">
        <f>IF(Calculation!E45=Calculation!$A$145,Calculation!$A$41,"")</f>
        <v/>
      </c>
      <c r="E45" s="52" t="str">
        <f>IF(Calculation!E45=Calculation!$A$145,Calculation!C45,"")</f>
        <v/>
      </c>
      <c r="F45" s="52" t="str">
        <f>IF(Calculation!E45=Calculation!$A$145,Calculation!F45,"")</f>
        <v/>
      </c>
      <c r="G45" s="54" t="str">
        <f>IF(Calculation!E45=Calculation!$A$145,Calculation!G45,"")</f>
        <v/>
      </c>
      <c r="H45" s="54" t="str">
        <f>IF(Calculation!E45=Calculation!$A$145,Calculation!H45,"")</f>
        <v/>
      </c>
      <c r="I45" s="55"/>
    </row>
    <row r="46">
      <c r="A46" s="52" t="str">
        <f>IF(Calculation!E46=Calculation!$A$145,Calculation!B46,"")</f>
        <v/>
      </c>
      <c r="B46" s="53" t="str">
        <f>IF(Calculation!E46=Calculation!$A$145,Calculation!I46,"")</f>
        <v/>
      </c>
      <c r="C46" s="52" t="str">
        <f>IF(Calculation!E46=Calculation!$A$145,Calculation!D46,"")</f>
        <v/>
      </c>
      <c r="D46" s="52" t="str">
        <f>IF(Calculation!E46=Calculation!$A$145,Calculation!$A$41,"")</f>
        <v/>
      </c>
      <c r="E46" s="52" t="str">
        <f>IF(Calculation!E46=Calculation!$A$145,Calculation!C46,"")</f>
        <v/>
      </c>
      <c r="F46" s="52" t="str">
        <f>IF(Calculation!E46=Calculation!$A$145,Calculation!F46,"")</f>
        <v/>
      </c>
      <c r="G46" s="54" t="str">
        <f>IF(Calculation!E46=Calculation!$A$145,Calculation!G46,"")</f>
        <v/>
      </c>
      <c r="H46" s="54" t="str">
        <f>IF(Calculation!E46=Calculation!$A$145,Calculation!H46,"")</f>
        <v/>
      </c>
      <c r="I46" s="55"/>
    </row>
    <row r="47">
      <c r="A47" s="52" t="str">
        <f>IF(Calculation!E47=Calculation!$A$145,Calculation!B47,"")</f>
        <v/>
      </c>
      <c r="B47" s="53" t="str">
        <f>IF(Calculation!E47=Calculation!$A$145,Calculation!I47,"")</f>
        <v/>
      </c>
      <c r="C47" s="52" t="str">
        <f>IF(Calculation!E47=Calculation!$A$145,Calculation!D47,"")</f>
        <v/>
      </c>
      <c r="D47" s="52" t="str">
        <f>IF(Calculation!E47=Calculation!$A$145,Calculation!$A$41,"")</f>
        <v/>
      </c>
      <c r="E47" s="52" t="str">
        <f>IF(Calculation!E47=Calculation!$A$145,Calculation!C47,"")</f>
        <v/>
      </c>
      <c r="F47" s="52" t="str">
        <f>IF(Calculation!E47=Calculation!$A$145,Calculation!F47,"")</f>
        <v/>
      </c>
      <c r="G47" s="54" t="str">
        <f>IF(Calculation!E47=Calculation!$A$145,Calculation!G47,"")</f>
        <v/>
      </c>
      <c r="H47" s="54" t="str">
        <f>IF(Calculation!E47=Calculation!$A$145,Calculation!H47,"")</f>
        <v/>
      </c>
      <c r="I47" s="55"/>
    </row>
    <row r="48">
      <c r="A48" s="52" t="str">
        <f>IF(Calculation!E48=Calculation!$A$145,Calculation!B48,"")</f>
        <v/>
      </c>
      <c r="B48" s="53" t="str">
        <f>IF(Calculation!E48=Calculation!$A$145,Calculation!I48,"")</f>
        <v/>
      </c>
      <c r="C48" s="52" t="str">
        <f>IF(Calculation!E48=Calculation!$A$145,Calculation!D48,"")</f>
        <v/>
      </c>
      <c r="D48" s="52" t="str">
        <f>IF(Calculation!E48=Calculation!$A$145,Calculation!$A$41,"")</f>
        <v/>
      </c>
      <c r="E48" s="52" t="str">
        <f>IF(Calculation!E48=Calculation!$A$145,Calculation!C48,"")</f>
        <v/>
      </c>
      <c r="F48" s="52" t="str">
        <f>IF(Calculation!E48=Calculation!$A$145,Calculation!F48,"")</f>
        <v/>
      </c>
      <c r="G48" s="54" t="str">
        <f>IF(Calculation!E48=Calculation!$A$145,Calculation!G48,"")</f>
        <v/>
      </c>
      <c r="H48" s="54" t="str">
        <f>IF(Calculation!E48=Calculation!$A$145,Calculation!H48,"")</f>
        <v/>
      </c>
      <c r="I48" s="55"/>
    </row>
    <row r="49">
      <c r="A49" s="52" t="str">
        <f>IF(Calculation!E49=Calculation!$A$145,Calculation!B49,"")</f>
        <v/>
      </c>
      <c r="B49" s="53" t="str">
        <f>IF(Calculation!E49=Calculation!$A$145,Calculation!I49,"")</f>
        <v/>
      </c>
      <c r="C49" s="52" t="str">
        <f>IF(Calculation!E49=Calculation!$A$145,Calculation!D49,"")</f>
        <v/>
      </c>
      <c r="D49" s="52" t="str">
        <f>IF(Calculation!E49=Calculation!$A$145,Calculation!$A$41,"")</f>
        <v/>
      </c>
      <c r="E49" s="52" t="str">
        <f>IF(Calculation!E49=Calculation!$A$145,Calculation!C49,"")</f>
        <v/>
      </c>
      <c r="F49" s="52" t="str">
        <f>IF(Calculation!E49=Calculation!$A$145,Calculation!F49,"")</f>
        <v/>
      </c>
      <c r="G49" s="54" t="str">
        <f>IF(Calculation!E49=Calculation!$A$145,Calculation!G49,"")</f>
        <v/>
      </c>
      <c r="H49" s="54" t="str">
        <f>IF(Calculation!E49=Calculation!$A$145,Calculation!H49,"")</f>
        <v/>
      </c>
      <c r="I49" s="55"/>
    </row>
    <row r="50">
      <c r="A50" s="52" t="str">
        <f>IF(Calculation!E50=Calculation!$A$145,Calculation!B50,"")</f>
        <v/>
      </c>
      <c r="B50" s="53" t="str">
        <f>IF(Calculation!E50=Calculation!$A$145,Calculation!I50,"")</f>
        <v/>
      </c>
      <c r="C50" s="52" t="str">
        <f>IF(Calculation!E50=Calculation!$A$145,Calculation!D50,"")</f>
        <v/>
      </c>
      <c r="D50" s="52" t="str">
        <f>IF(Calculation!E50=Calculation!$A$145,Calculation!$A$41,"")</f>
        <v/>
      </c>
      <c r="E50" s="52" t="str">
        <f>IF(Calculation!E50=Calculation!$A$145,Calculation!C50,"")</f>
        <v/>
      </c>
      <c r="F50" s="52" t="str">
        <f>IF(Calculation!E50=Calculation!$A$145,Calculation!F50,"")</f>
        <v/>
      </c>
      <c r="G50" s="54" t="str">
        <f>IF(Calculation!E50=Calculation!$A$145,Calculation!G50,"")</f>
        <v/>
      </c>
      <c r="H50" s="54" t="str">
        <f>IF(Calculation!E50=Calculation!$A$145,Calculation!H50,"")</f>
        <v/>
      </c>
      <c r="I50" s="55"/>
    </row>
    <row r="51">
      <c r="A51" s="52" t="str">
        <f>IF(Calculation!E51=Calculation!$A$145,Calculation!B51,"")</f>
        <v/>
      </c>
      <c r="B51" s="53" t="str">
        <f>IF(Calculation!E51=Calculation!$A$145,Calculation!I51,"")</f>
        <v/>
      </c>
      <c r="C51" s="52" t="str">
        <f>IF(Calculation!E51=Calculation!$A$145,Calculation!D51,"")</f>
        <v/>
      </c>
      <c r="D51" s="52" t="str">
        <f>IF(Calculation!E51=Calculation!$A$145,Calculation!$A$41,"")</f>
        <v/>
      </c>
      <c r="E51" s="52" t="str">
        <f>IF(Calculation!E51=Calculation!$A$145,Calculation!C51,"")</f>
        <v/>
      </c>
      <c r="F51" s="52" t="str">
        <f>IF(Calculation!E51=Calculation!$A$145,Calculation!F51,"")</f>
        <v/>
      </c>
      <c r="G51" s="54" t="str">
        <f>IF(Calculation!E51=Calculation!$A$145,Calculation!G51,"")</f>
        <v/>
      </c>
      <c r="H51" s="54" t="str">
        <f>IF(Calculation!E51=Calculation!$A$145,Calculation!H51,"")</f>
        <v/>
      </c>
      <c r="I51" s="55"/>
    </row>
    <row r="52">
      <c r="A52" s="52" t="str">
        <f>IF(Calculation!E52=Calculation!$A$145,Calculation!B52,"")</f>
        <v/>
      </c>
      <c r="B52" s="53" t="str">
        <f>IF(Calculation!E52=Calculation!$A$145,Calculation!I52,"")</f>
        <v/>
      </c>
      <c r="C52" s="52" t="str">
        <f>IF(Calculation!E52=Calculation!$A$145,Calculation!D52,"")</f>
        <v/>
      </c>
      <c r="D52" s="52" t="str">
        <f>IF(Calculation!E52=Calculation!$A$145,Calculation!$A$41,"")</f>
        <v/>
      </c>
      <c r="E52" s="52" t="str">
        <f>IF(Calculation!E52=Calculation!$A$145,Calculation!C52,"")</f>
        <v/>
      </c>
      <c r="F52" s="52" t="str">
        <f>IF(Calculation!E52=Calculation!$A$145,Calculation!F52,"")</f>
        <v/>
      </c>
      <c r="G52" s="54" t="str">
        <f>IF(Calculation!E52=Calculation!$A$145,Calculation!G52,"")</f>
        <v/>
      </c>
      <c r="H52" s="54" t="str">
        <f>IF(Calculation!E52=Calculation!$A$145,Calculation!H52,"")</f>
        <v/>
      </c>
      <c r="I52" s="55"/>
    </row>
    <row r="53">
      <c r="A53" s="52" t="str">
        <f>IF(Calculation!E53=Calculation!$A$145,Calculation!B53,"")</f>
        <v/>
      </c>
      <c r="B53" s="53" t="str">
        <f>IF(Calculation!E53=Calculation!$A$145,Calculation!I53,"")</f>
        <v/>
      </c>
      <c r="C53" s="52" t="str">
        <f>IF(Calculation!E53=Calculation!$A$145,Calculation!D53,"")</f>
        <v/>
      </c>
      <c r="D53" s="52" t="str">
        <f>IF(Calculation!E53=Calculation!$A$145,Calculation!$A$41,"")</f>
        <v/>
      </c>
      <c r="E53" s="52" t="str">
        <f>IF(Calculation!E53=Calculation!$A$145,Calculation!C53,"")</f>
        <v/>
      </c>
      <c r="F53" s="52" t="str">
        <f>IF(Calculation!E53=Calculation!$A$145,Calculation!F53,"")</f>
        <v/>
      </c>
      <c r="G53" s="54" t="str">
        <f>IF(Calculation!E53=Calculation!$A$145,Calculation!G53,"")</f>
        <v/>
      </c>
      <c r="H53" s="54" t="str">
        <f>IF(Calculation!E53=Calculation!$A$145,Calculation!H53,"")</f>
        <v/>
      </c>
      <c r="I53" s="55"/>
    </row>
    <row r="54">
      <c r="A54" s="52" t="str">
        <f>IF(Calculation!E54=Calculation!$A$145,Calculation!B54,"")</f>
        <v/>
      </c>
      <c r="B54" s="53" t="str">
        <f>IF(Calculation!E54=Calculation!$A$145,Calculation!I54,"")</f>
        <v/>
      </c>
      <c r="C54" s="52" t="str">
        <f>IF(Calculation!E54=Calculation!$A$145,Calculation!D54,"")</f>
        <v/>
      </c>
      <c r="D54" s="52" t="str">
        <f>IF(Calculation!E54=Calculation!$A$145,Calculation!$A$54,"")</f>
        <v/>
      </c>
      <c r="E54" s="52" t="str">
        <f>IF(Calculation!E54=Calculation!$A$145,Calculation!C54,"")</f>
        <v/>
      </c>
      <c r="F54" s="52" t="str">
        <f>IF(Calculation!E54=Calculation!$A$145,Calculation!F54,"")</f>
        <v/>
      </c>
      <c r="G54" s="54" t="str">
        <f>IF(Calculation!E54=Calculation!$A$145,Calculation!G54,"")</f>
        <v/>
      </c>
      <c r="H54" s="54" t="str">
        <f>IF(Calculation!E54=Calculation!$A$145,Calculation!H54,"")</f>
        <v/>
      </c>
      <c r="I54" s="55"/>
    </row>
    <row r="55">
      <c r="A55" s="52" t="str">
        <f>IF(Calculation!E55=Calculation!$A$145,Calculation!B55,"")</f>
        <v/>
      </c>
      <c r="B55" s="53" t="str">
        <f>IF(Calculation!E55=Calculation!$A$145,Calculation!I55,"")</f>
        <v/>
      </c>
      <c r="C55" s="52" t="str">
        <f>IF(Calculation!E55=Calculation!$A$145,Calculation!D55,"")</f>
        <v/>
      </c>
      <c r="D55" s="52" t="str">
        <f>IF(Calculation!E55=Calculation!$A$145,Calculation!$A$54,"")</f>
        <v/>
      </c>
      <c r="E55" s="52" t="str">
        <f>IF(Calculation!E55=Calculation!$A$145,Calculation!C55,"")</f>
        <v/>
      </c>
      <c r="F55" s="52" t="str">
        <f>IF(Calculation!E55=Calculation!$A$145,Calculation!F55,"")</f>
        <v/>
      </c>
      <c r="G55" s="54" t="str">
        <f>IF(Calculation!E55=Calculation!$A$145,Calculation!G55,"")</f>
        <v/>
      </c>
      <c r="H55" s="54" t="str">
        <f>IF(Calculation!E55=Calculation!$A$145,Calculation!H55,"")</f>
        <v/>
      </c>
      <c r="I55" s="55"/>
    </row>
    <row r="56">
      <c r="A56" s="52" t="str">
        <f>IF(Calculation!E56=Calculation!$A$145,Calculation!B56,"")</f>
        <v/>
      </c>
      <c r="B56" s="53" t="str">
        <f>IF(Calculation!E56=Calculation!$A$145,Calculation!I56,"")</f>
        <v/>
      </c>
      <c r="C56" s="52" t="str">
        <f>IF(Calculation!E56=Calculation!$A$145,Calculation!D56,"")</f>
        <v/>
      </c>
      <c r="D56" s="52" t="str">
        <f>IF(Calculation!E56=Calculation!$A$145,Calculation!$A$54,"")</f>
        <v/>
      </c>
      <c r="E56" s="52" t="str">
        <f>IF(Calculation!E56=Calculation!$A$145,Calculation!C56,"")</f>
        <v/>
      </c>
      <c r="F56" s="52" t="str">
        <f>IF(Calculation!E56=Calculation!$A$145,Calculation!F56,"")</f>
        <v/>
      </c>
      <c r="G56" s="54" t="str">
        <f>IF(Calculation!E56=Calculation!$A$145,Calculation!G56,"")</f>
        <v/>
      </c>
      <c r="H56" s="54" t="str">
        <f>IF(Calculation!E56=Calculation!$A$145,Calculation!H56,"")</f>
        <v/>
      </c>
      <c r="I56" s="55"/>
    </row>
    <row r="57">
      <c r="A57" s="52" t="str">
        <f>IF(Calculation!E57=Calculation!$A$145,Calculation!B57,"")</f>
        <v/>
      </c>
      <c r="B57" s="53" t="str">
        <f>IF(Calculation!E57=Calculation!$A$145,Calculation!I57,"")</f>
        <v/>
      </c>
      <c r="C57" s="52" t="str">
        <f>IF(Calculation!E57=Calculation!$A$145,Calculation!D57,"")</f>
        <v/>
      </c>
      <c r="D57" s="52" t="str">
        <f>IF(Calculation!E57=Calculation!$A$145,Calculation!$A$54,"")</f>
        <v/>
      </c>
      <c r="E57" s="52" t="str">
        <f>IF(Calculation!E57=Calculation!$A$145,Calculation!C57,"")</f>
        <v/>
      </c>
      <c r="F57" s="52" t="str">
        <f>IF(Calculation!E57=Calculation!$A$145,Calculation!F57,"")</f>
        <v/>
      </c>
      <c r="G57" s="54" t="str">
        <f>IF(Calculation!E57=Calculation!$A$145,Calculation!G57,"")</f>
        <v/>
      </c>
      <c r="H57" s="54" t="str">
        <f>IF(Calculation!E57=Calculation!$A$145,Calculation!H57,"")</f>
        <v/>
      </c>
      <c r="I57" s="55"/>
    </row>
    <row r="58">
      <c r="A58" s="52" t="str">
        <f>IF(Calculation!E58=Calculation!$A$145,Calculation!B58,"")</f>
        <v/>
      </c>
      <c r="B58" s="53" t="str">
        <f>IF(Calculation!E58=Calculation!$A$145,Calculation!I58,"")</f>
        <v/>
      </c>
      <c r="C58" s="52" t="str">
        <f>IF(Calculation!E58=Calculation!$A$145,Calculation!D58,"")</f>
        <v/>
      </c>
      <c r="D58" s="52" t="str">
        <f>IF(Calculation!E58=Calculation!$A$145,Calculation!$A$54,"")</f>
        <v/>
      </c>
      <c r="E58" s="52" t="str">
        <f>IF(Calculation!E58=Calculation!$A$145,Calculation!C58,"")</f>
        <v/>
      </c>
      <c r="F58" s="52" t="str">
        <f>IF(Calculation!E58=Calculation!$A$145,Calculation!F58,"")</f>
        <v/>
      </c>
      <c r="G58" s="54" t="str">
        <f>IF(Calculation!E58=Calculation!$A$145,Calculation!G58,"")</f>
        <v/>
      </c>
      <c r="H58" s="54" t="str">
        <f>IF(Calculation!E58=Calculation!$A$145,Calculation!H58,"")</f>
        <v/>
      </c>
      <c r="I58" s="55"/>
    </row>
    <row r="59">
      <c r="A59" s="52" t="str">
        <f>IF(Calculation!E59=Calculation!$A$145,Calculation!B59,"")</f>
        <v/>
      </c>
      <c r="B59" s="53" t="str">
        <f>IF(Calculation!E59=Calculation!$A$145,Calculation!I59,"")</f>
        <v/>
      </c>
      <c r="C59" s="52" t="str">
        <f>IF(Calculation!E59=Calculation!$A$145,Calculation!D59,"")</f>
        <v/>
      </c>
      <c r="D59" s="52" t="str">
        <f>IF(Calculation!E59=Calculation!$A$145,Calculation!$A$54,"")</f>
        <v/>
      </c>
      <c r="E59" s="52" t="str">
        <f>IF(Calculation!E59=Calculation!$A$145,Calculation!C59,"")</f>
        <v/>
      </c>
      <c r="F59" s="52" t="str">
        <f>IF(Calculation!E59=Calculation!$A$145,Calculation!F59,"")</f>
        <v/>
      </c>
      <c r="G59" s="54" t="str">
        <f>IF(Calculation!E59=Calculation!$A$145,Calculation!G59,"")</f>
        <v/>
      </c>
      <c r="H59" s="54" t="str">
        <f>IF(Calculation!E59=Calculation!$A$145,Calculation!H59,"")</f>
        <v/>
      </c>
      <c r="I59" s="55"/>
    </row>
    <row r="60">
      <c r="A60" s="52" t="str">
        <f>IF(Calculation!E60=Calculation!$A$145,Calculation!B60,"")</f>
        <v/>
      </c>
      <c r="B60" s="53" t="str">
        <f>IF(Calculation!E60=Calculation!$A$145,Calculation!I60,"")</f>
        <v/>
      </c>
      <c r="C60" s="52" t="str">
        <f>IF(Calculation!E60=Calculation!$A$145,Calculation!D60,"")</f>
        <v/>
      </c>
      <c r="D60" s="52" t="str">
        <f>IF(Calculation!E60=Calculation!$A$145,Calculation!$A$54,"")</f>
        <v/>
      </c>
      <c r="E60" s="52" t="str">
        <f>IF(Calculation!E60=Calculation!$A$145,Calculation!C60,"")</f>
        <v/>
      </c>
      <c r="F60" s="52" t="str">
        <f>IF(Calculation!E60=Calculation!$A$145,Calculation!F60,"")</f>
        <v/>
      </c>
      <c r="G60" s="54" t="str">
        <f>IF(Calculation!E60=Calculation!$A$145,Calculation!G60,"")</f>
        <v/>
      </c>
      <c r="H60" s="54" t="str">
        <f>IF(Calculation!E60=Calculation!$A$145,Calculation!H60,"")</f>
        <v/>
      </c>
      <c r="I60" s="55"/>
    </row>
    <row r="61">
      <c r="A61" s="52" t="str">
        <f>IF(Calculation!E61=Calculation!$A$145,Calculation!B61,"")</f>
        <v/>
      </c>
      <c r="B61" s="53" t="str">
        <f>IF(Calculation!E61=Calculation!$A$145,Calculation!I61,"")</f>
        <v/>
      </c>
      <c r="C61" s="52" t="str">
        <f>IF(Calculation!E61=Calculation!$A$145,Calculation!D61,"")</f>
        <v/>
      </c>
      <c r="D61" s="52" t="str">
        <f>IF(Calculation!E61=Calculation!$A$145,Calculation!$A$54,"")</f>
        <v/>
      </c>
      <c r="E61" s="52" t="str">
        <f>IF(Calculation!E61=Calculation!$A$145,Calculation!C61,"")</f>
        <v/>
      </c>
      <c r="F61" s="52" t="str">
        <f>IF(Calculation!E61=Calculation!$A$145,Calculation!F61,"")</f>
        <v/>
      </c>
      <c r="G61" s="54" t="str">
        <f>IF(Calculation!E61=Calculation!$A$145,Calculation!G61,"")</f>
        <v/>
      </c>
      <c r="H61" s="54" t="str">
        <f>IF(Calculation!E61=Calculation!$A$145,Calculation!H61,"")</f>
        <v/>
      </c>
      <c r="I61" s="55"/>
    </row>
    <row r="62">
      <c r="A62" s="52" t="str">
        <f>IF(Calculation!E62=Calculation!$A$145,Calculation!B62,"")</f>
        <v/>
      </c>
      <c r="B62" s="53" t="str">
        <f>IF(Calculation!E62=Calculation!$A$145,Calculation!I62,"")</f>
        <v/>
      </c>
      <c r="C62" s="52" t="str">
        <f>IF(Calculation!E62=Calculation!$A$145,Calculation!D62,"")</f>
        <v/>
      </c>
      <c r="D62" s="52" t="str">
        <f>IF(Calculation!E62=Calculation!$A$145,Calculation!$A$54,"")</f>
        <v/>
      </c>
      <c r="E62" s="52" t="str">
        <f>IF(Calculation!E62=Calculation!$A$145,Calculation!C62,"")</f>
        <v/>
      </c>
      <c r="F62" s="52" t="str">
        <f>IF(Calculation!E62=Calculation!$A$145,Calculation!F62,"")</f>
        <v/>
      </c>
      <c r="G62" s="54" t="str">
        <f>IF(Calculation!E62=Calculation!$A$145,Calculation!G62,"")</f>
        <v/>
      </c>
      <c r="H62" s="54" t="str">
        <f>IF(Calculation!E62=Calculation!$A$145,Calculation!H62,"")</f>
        <v/>
      </c>
      <c r="I62" s="55"/>
    </row>
    <row r="63">
      <c r="A63" s="52" t="str">
        <f>IF(Calculation!E63=Calculation!$A$145,Calculation!B63,"")</f>
        <v/>
      </c>
      <c r="B63" s="53" t="str">
        <f>IF(Calculation!E63=Calculation!$A$145,Calculation!I63,"")</f>
        <v/>
      </c>
      <c r="C63" s="52" t="str">
        <f>IF(Calculation!E63=Calculation!$A$145,Calculation!D63,"")</f>
        <v/>
      </c>
      <c r="D63" s="52" t="str">
        <f>IF(Calculation!E63=Calculation!$A$145,Calculation!$A$54,"")</f>
        <v/>
      </c>
      <c r="E63" s="52" t="str">
        <f>IF(Calculation!E63=Calculation!$A$145,Calculation!C63,"")</f>
        <v/>
      </c>
      <c r="F63" s="52" t="str">
        <f>IF(Calculation!E63=Calculation!$A$145,Calculation!F63,"")</f>
        <v/>
      </c>
      <c r="G63" s="54" t="str">
        <f>IF(Calculation!E63=Calculation!$A$145,Calculation!G63,"")</f>
        <v/>
      </c>
      <c r="H63" s="54" t="str">
        <f>IF(Calculation!E63=Calculation!$A$145,Calculation!H63,"")</f>
        <v/>
      </c>
      <c r="I63" s="55"/>
    </row>
    <row r="64">
      <c r="A64" s="52" t="str">
        <f>IF(Calculation!E64=Calculation!$A$145,Calculation!B64,"")</f>
        <v/>
      </c>
      <c r="B64" s="53" t="str">
        <f>IF(Calculation!E64=Calculation!$A$145,Calculation!I64,"")</f>
        <v/>
      </c>
      <c r="C64" s="52" t="str">
        <f>IF(Calculation!E64=Calculation!$A$145,Calculation!D64,"")</f>
        <v/>
      </c>
      <c r="D64" s="52" t="str">
        <f>IF(Calculation!E64=Calculation!$A$145,Calculation!$A$54,"")</f>
        <v/>
      </c>
      <c r="E64" s="52" t="str">
        <f>IF(Calculation!E64=Calculation!$A$145,Calculation!C64,"")</f>
        <v/>
      </c>
      <c r="F64" s="52" t="str">
        <f>IF(Calculation!E64=Calculation!$A$145,Calculation!F64,"")</f>
        <v/>
      </c>
      <c r="G64" s="54" t="str">
        <f>IF(Calculation!E64=Calculation!$A$145,Calculation!G64,"")</f>
        <v/>
      </c>
      <c r="H64" s="54" t="str">
        <f>IF(Calculation!E64=Calculation!$A$145,Calculation!H64,"")</f>
        <v/>
      </c>
      <c r="I64" s="55"/>
    </row>
    <row r="65">
      <c r="A65" s="52" t="str">
        <f>IF(Calculation!E65=Calculation!$A$145,Calculation!B65,"")</f>
        <v/>
      </c>
      <c r="B65" s="53" t="str">
        <f>IF(Calculation!E65=Calculation!$A$145,Calculation!I65,"")</f>
        <v/>
      </c>
      <c r="C65" s="52" t="str">
        <f>IF(Calculation!E65=Calculation!$A$145,Calculation!D65,"")</f>
        <v/>
      </c>
      <c r="D65" s="52" t="str">
        <f>IF(Calculation!E65=Calculation!$A$145,Calculation!$A$54,"")</f>
        <v/>
      </c>
      <c r="E65" s="52" t="str">
        <f>IF(Calculation!E65=Calculation!$A$145,Calculation!C65,"")</f>
        <v/>
      </c>
      <c r="F65" s="52" t="str">
        <f>IF(Calculation!E65=Calculation!$A$145,Calculation!F65,"")</f>
        <v/>
      </c>
      <c r="G65" s="54" t="str">
        <f>IF(Calculation!E65=Calculation!$A$145,Calculation!G65,"")</f>
        <v/>
      </c>
      <c r="H65" s="54" t="str">
        <f>IF(Calculation!E65=Calculation!$A$145,Calculation!H65,"")</f>
        <v/>
      </c>
      <c r="I65" s="55"/>
    </row>
    <row r="66">
      <c r="A66" s="52" t="str">
        <f>IF(Calculation!E66=Calculation!$A$145,Calculation!B66,"")</f>
        <v/>
      </c>
      <c r="B66" s="53" t="str">
        <f>IF(Calculation!E66=Calculation!$A$145,Calculation!I66,"")</f>
        <v/>
      </c>
      <c r="C66" s="52" t="str">
        <f>IF(Calculation!E66=Calculation!$A$145,Calculation!D66,"")</f>
        <v/>
      </c>
      <c r="D66" s="52" t="str">
        <f>IF(Calculation!E66=Calculation!$A$145,Calculation!$A$66,"")</f>
        <v/>
      </c>
      <c r="E66" s="52" t="str">
        <f>IF(Calculation!E66=Calculation!$A$145,Calculation!C66,"")</f>
        <v/>
      </c>
      <c r="F66" s="52" t="str">
        <f>IF(Calculation!E66=Calculation!$A$145,Calculation!F66,"")</f>
        <v/>
      </c>
      <c r="G66" s="54" t="str">
        <f>IF(Calculation!E66=Calculation!$A$145,Calculation!G66,"")</f>
        <v/>
      </c>
      <c r="H66" s="54" t="str">
        <f>IF(Calculation!E66=Calculation!$A$145,Calculation!H66,"")</f>
        <v/>
      </c>
      <c r="I66" s="55"/>
    </row>
    <row r="67">
      <c r="A67" s="52" t="str">
        <f>IF(Calculation!E67=Calculation!$A$145,Calculation!B67,"")</f>
        <v/>
      </c>
      <c r="B67" s="53" t="str">
        <f>IF(Calculation!E67=Calculation!$A$145,Calculation!I67,"")</f>
        <v/>
      </c>
      <c r="C67" s="52" t="str">
        <f>IF(Calculation!E67=Calculation!$A$145,Calculation!D67,"")</f>
        <v/>
      </c>
      <c r="D67" s="52" t="str">
        <f>IF(Calculation!E67=Calculation!$A$145,Calculation!$A$66,"")</f>
        <v/>
      </c>
      <c r="E67" s="52" t="str">
        <f>IF(Calculation!E67=Calculation!$A$145,Calculation!C67,"")</f>
        <v/>
      </c>
      <c r="F67" s="52" t="str">
        <f>IF(Calculation!E67=Calculation!$A$145,Calculation!F67,"")</f>
        <v/>
      </c>
      <c r="G67" s="54" t="str">
        <f>IF(Calculation!E67=Calculation!$A$145,Calculation!G67,"")</f>
        <v/>
      </c>
      <c r="H67" s="54" t="str">
        <f>IF(Calculation!E67=Calculation!$A$145,Calculation!H67,"")</f>
        <v/>
      </c>
      <c r="I67" s="55"/>
    </row>
    <row r="68">
      <c r="A68" s="52" t="str">
        <f>IF(Calculation!E68=Calculation!$A$145,Calculation!B68,"")</f>
        <v/>
      </c>
      <c r="B68" s="53" t="str">
        <f>IF(Calculation!E68=Calculation!$A$145,Calculation!I68,"")</f>
        <v/>
      </c>
      <c r="C68" s="52" t="str">
        <f>IF(Calculation!E68=Calculation!$A$145,Calculation!D68,"")</f>
        <v/>
      </c>
      <c r="D68" s="52" t="str">
        <f>IF(Calculation!E68=Calculation!$A$145,Calculation!$A$66,"")</f>
        <v/>
      </c>
      <c r="E68" s="52" t="str">
        <f>IF(Calculation!E68=Calculation!$A$145,Calculation!C68,"")</f>
        <v/>
      </c>
      <c r="F68" s="52" t="str">
        <f>IF(Calculation!E68=Calculation!$A$145,Calculation!F68,"")</f>
        <v/>
      </c>
      <c r="G68" s="54" t="str">
        <f>IF(Calculation!E68=Calculation!$A$145,Calculation!G68,"")</f>
        <v/>
      </c>
      <c r="H68" s="54" t="str">
        <f>IF(Calculation!E68=Calculation!$A$145,Calculation!H68,"")</f>
        <v/>
      </c>
      <c r="I68" s="55"/>
    </row>
    <row r="69">
      <c r="A69" s="52" t="str">
        <f>IF(Calculation!E69=Calculation!$A$145,Calculation!B69,"")</f>
        <v/>
      </c>
      <c r="B69" s="53" t="str">
        <f>IF(Calculation!E69=Calculation!$A$145,Calculation!I69,"")</f>
        <v/>
      </c>
      <c r="C69" s="52" t="str">
        <f>IF(Calculation!E69=Calculation!$A$145,Calculation!D69,"")</f>
        <v/>
      </c>
      <c r="D69" s="52" t="str">
        <f>IF(Calculation!E69=Calculation!$A$145,Calculation!$A$66,"")</f>
        <v/>
      </c>
      <c r="E69" s="52" t="str">
        <f>IF(Calculation!E69=Calculation!$A$145,Calculation!C69,"")</f>
        <v/>
      </c>
      <c r="F69" s="52" t="str">
        <f>IF(Calculation!E69=Calculation!$A$145,Calculation!F69,"")</f>
        <v/>
      </c>
      <c r="G69" s="54" t="str">
        <f>IF(Calculation!E69=Calculation!$A$145,Calculation!G69,"")</f>
        <v/>
      </c>
      <c r="H69" s="54" t="str">
        <f>IF(Calculation!E69=Calculation!$A$145,Calculation!H69,"")</f>
        <v/>
      </c>
      <c r="I69" s="55"/>
    </row>
    <row r="70">
      <c r="A70" s="52" t="str">
        <f>IF(Calculation!E70=Calculation!$A$145,Calculation!B70,"")</f>
        <v/>
      </c>
      <c r="B70" s="53" t="str">
        <f>IF(Calculation!E70=Calculation!$A$145,Calculation!I70,"")</f>
        <v/>
      </c>
      <c r="C70" s="52" t="str">
        <f>IF(Calculation!E70=Calculation!$A$145,Calculation!D70,"")</f>
        <v/>
      </c>
      <c r="D70" s="52" t="str">
        <f>IF(Calculation!E70=Calculation!$A$145,Calculation!$A$66,"")</f>
        <v/>
      </c>
      <c r="E70" s="52" t="str">
        <f>IF(Calculation!E70=Calculation!$A$145,Calculation!C70,"")</f>
        <v/>
      </c>
      <c r="F70" s="52" t="str">
        <f>IF(Calculation!E70=Calculation!$A$145,Calculation!F70,"")</f>
        <v/>
      </c>
      <c r="G70" s="54" t="str">
        <f>IF(Calculation!E70=Calculation!$A$145,Calculation!G70,"")</f>
        <v/>
      </c>
      <c r="H70" s="54" t="str">
        <f>IF(Calculation!E70=Calculation!$A$145,Calculation!H70,"")</f>
        <v/>
      </c>
      <c r="I70" s="55"/>
    </row>
    <row r="71">
      <c r="A71" s="52" t="str">
        <f>IF(Calculation!E71=Calculation!$A$145,Calculation!B71,"")</f>
        <v/>
      </c>
      <c r="B71" s="53" t="str">
        <f>IF(Calculation!E71=Calculation!$A$145,Calculation!I71,"")</f>
        <v/>
      </c>
      <c r="C71" s="52" t="str">
        <f>IF(Calculation!E71=Calculation!$A$145,Calculation!D71,"")</f>
        <v/>
      </c>
      <c r="D71" s="52" t="str">
        <f>IF(Calculation!E71=Calculation!$A$145,Calculation!$A$66,"")</f>
        <v/>
      </c>
      <c r="E71" s="52" t="str">
        <f>IF(Calculation!E71=Calculation!$A$145,Calculation!C71,"")</f>
        <v/>
      </c>
      <c r="F71" s="52" t="str">
        <f>IF(Calculation!E71=Calculation!$A$145,Calculation!F71,"")</f>
        <v/>
      </c>
      <c r="G71" s="54" t="str">
        <f>IF(Calculation!E71=Calculation!$A$145,Calculation!G71,"")</f>
        <v/>
      </c>
      <c r="H71" s="54" t="str">
        <f>IF(Calculation!E71=Calculation!$A$145,Calculation!H71,"")</f>
        <v/>
      </c>
      <c r="I71" s="55"/>
    </row>
    <row r="72">
      <c r="A72" s="52" t="str">
        <f>IF(Calculation!E72=Calculation!$A$145,Calculation!B72,"")</f>
        <v/>
      </c>
      <c r="B72" s="53" t="str">
        <f>IF(Calculation!E72=Calculation!$A$145,Calculation!I72,"")</f>
        <v/>
      </c>
      <c r="C72" s="52" t="str">
        <f>IF(Calculation!E72=Calculation!$A$145,Calculation!D72,"")</f>
        <v/>
      </c>
      <c r="D72" s="52" t="str">
        <f>IF(Calculation!E72=Calculation!$A$145,Calculation!$A$66,"")</f>
        <v/>
      </c>
      <c r="E72" s="52" t="str">
        <f>IF(Calculation!E72=Calculation!$A$145,Calculation!C72,"")</f>
        <v/>
      </c>
      <c r="F72" s="52" t="str">
        <f>IF(Calculation!E72=Calculation!$A$145,Calculation!F72,"")</f>
        <v/>
      </c>
      <c r="G72" s="54" t="str">
        <f>IF(Calculation!E72=Calculation!$A$145,Calculation!G72,"")</f>
        <v/>
      </c>
      <c r="H72" s="54" t="str">
        <f>IF(Calculation!E72=Calculation!$A$145,Calculation!H72,"")</f>
        <v/>
      </c>
      <c r="I72" s="55"/>
    </row>
    <row r="73">
      <c r="A73" s="52" t="str">
        <f>IF(Calculation!E73=Calculation!$A$145,Calculation!B73,"")</f>
        <v/>
      </c>
      <c r="B73" s="53" t="str">
        <f>IF(Calculation!E73=Calculation!$A$145,Calculation!I73,"")</f>
        <v/>
      </c>
      <c r="C73" s="52" t="str">
        <f>IF(Calculation!E73=Calculation!$A$145,Calculation!D73,"")</f>
        <v/>
      </c>
      <c r="D73" s="52" t="str">
        <f>IF(Calculation!E73=Calculation!$A$145,Calculation!$A$66,"")</f>
        <v/>
      </c>
      <c r="E73" s="52" t="str">
        <f>IF(Calculation!E73=Calculation!$A$145,Calculation!C73,"")</f>
        <v/>
      </c>
      <c r="F73" s="52" t="str">
        <f>IF(Calculation!E73=Calculation!$A$145,Calculation!F73,"")</f>
        <v/>
      </c>
      <c r="G73" s="54" t="str">
        <f>IF(Calculation!E73=Calculation!$A$145,Calculation!G73,"")</f>
        <v/>
      </c>
      <c r="H73" s="54" t="str">
        <f>IF(Calculation!E73=Calculation!$A$145,Calculation!H73,"")</f>
        <v/>
      </c>
      <c r="I73" s="55"/>
    </row>
    <row r="74">
      <c r="A74" s="52" t="str">
        <f>IF(Calculation!E74=Calculation!$A$145,Calculation!B74,"")</f>
        <v/>
      </c>
      <c r="B74" s="53" t="str">
        <f>IF(Calculation!E74=Calculation!$A$145,Calculation!I74,"")</f>
        <v/>
      </c>
      <c r="C74" s="52" t="str">
        <f>IF(Calculation!E74=Calculation!$A$145,Calculation!D74,"")</f>
        <v/>
      </c>
      <c r="D74" s="52" t="str">
        <f>IF(Calculation!E74=Calculation!$A$145,Calculation!$A$66,"")</f>
        <v/>
      </c>
      <c r="E74" s="52" t="str">
        <f>IF(Calculation!E74=Calculation!$A$145,Calculation!C74,"")</f>
        <v/>
      </c>
      <c r="F74" s="52" t="str">
        <f>IF(Calculation!E74=Calculation!$A$145,Calculation!F74,"")</f>
        <v/>
      </c>
      <c r="G74" s="54" t="str">
        <f>IF(Calculation!E74=Calculation!$A$145,Calculation!G74,"")</f>
        <v/>
      </c>
      <c r="H74" s="54" t="str">
        <f>IF(Calculation!E74=Calculation!$A$145,Calculation!H74,"")</f>
        <v/>
      </c>
      <c r="I74" s="55"/>
    </row>
    <row r="75">
      <c r="A75" s="52" t="str">
        <f>IF(Calculation!E75=Calculation!$A$145,Calculation!B75,"")</f>
        <v/>
      </c>
      <c r="B75" s="53" t="str">
        <f>IF(Calculation!E75=Calculation!$A$145,Calculation!I75,"")</f>
        <v/>
      </c>
      <c r="C75" s="52" t="str">
        <f>IF(Calculation!E75=Calculation!$A$145,Calculation!D75,"")</f>
        <v/>
      </c>
      <c r="D75" s="52" t="str">
        <f>IF(Calculation!E75=Calculation!$A$145,Calculation!$A$66,"")</f>
        <v/>
      </c>
      <c r="E75" s="52" t="str">
        <f>IF(Calculation!E75=Calculation!$A$145,Calculation!C75,"")</f>
        <v/>
      </c>
      <c r="F75" s="52" t="str">
        <f>IF(Calculation!E75=Calculation!$A$145,Calculation!F75,"")</f>
        <v/>
      </c>
      <c r="G75" s="54" t="str">
        <f>IF(Calculation!E75=Calculation!$A$145,Calculation!G75,"")</f>
        <v/>
      </c>
      <c r="H75" s="54" t="str">
        <f>IF(Calculation!E75=Calculation!$A$145,Calculation!H75,"")</f>
        <v/>
      </c>
      <c r="I75" s="55"/>
    </row>
    <row r="76">
      <c r="A76" s="52" t="str">
        <f>IF(Calculation!E76=Calculation!$A$145,Calculation!B76,"")</f>
        <v/>
      </c>
      <c r="B76" s="53" t="str">
        <f>IF(Calculation!E76=Calculation!$A$145,Calculation!I76,"")</f>
        <v/>
      </c>
      <c r="C76" s="52" t="str">
        <f>IF(Calculation!E76=Calculation!$A$145,Calculation!D76,"")</f>
        <v/>
      </c>
      <c r="D76" s="52" t="str">
        <f>IF(Calculation!E76=Calculation!$A$145,Calculation!$A$66,"")</f>
        <v/>
      </c>
      <c r="E76" s="52" t="str">
        <f>IF(Calculation!E76=Calculation!$A$145,Calculation!C76,"")</f>
        <v/>
      </c>
      <c r="F76" s="52" t="str">
        <f>IF(Calculation!E76=Calculation!$A$145,Calculation!F76,"")</f>
        <v/>
      </c>
      <c r="G76" s="54" t="str">
        <f>IF(Calculation!E76=Calculation!$A$145,Calculation!G76,"")</f>
        <v/>
      </c>
      <c r="H76" s="54" t="str">
        <f>IF(Calculation!E76=Calculation!$A$145,Calculation!H76,"")</f>
        <v/>
      </c>
      <c r="I76" s="55"/>
    </row>
    <row r="77" ht="22.5" customHeight="1">
      <c r="A77" s="52" t="str">
        <f>IF(Calculation!E77=Calculation!$A$145,Calculation!B77,"")</f>
        <v/>
      </c>
      <c r="B77" s="53" t="str">
        <f>IF(Calculation!E77=Calculation!$A$145,Calculation!I77,"")</f>
        <v/>
      </c>
      <c r="C77" s="52" t="str">
        <f>IF(Calculation!E77=Calculation!$A$145,Calculation!D77,"")</f>
        <v/>
      </c>
      <c r="D77" s="52" t="str">
        <f>IF(Calculation!E77=Calculation!$A$145,Calculation!$A$66,"")</f>
        <v/>
      </c>
      <c r="E77" s="52" t="str">
        <f>IF(Calculation!E77=Calculation!$A$145,Calculation!C77,"")</f>
        <v/>
      </c>
      <c r="F77" s="52" t="str">
        <f>IF(Calculation!E77=Calculation!$A$145,Calculation!F77,"")</f>
        <v/>
      </c>
      <c r="G77" s="54" t="str">
        <f>IF(Calculation!E77=Calculation!$A$145,Calculation!G77,"")</f>
        <v/>
      </c>
      <c r="H77" s="54" t="str">
        <f>IF(Calculation!E77=Calculation!$A$145,Calculation!H77,"")</f>
        <v/>
      </c>
      <c r="I77" s="55"/>
    </row>
    <row r="78" ht="21.75" customHeight="1">
      <c r="A78" s="52" t="str">
        <f>IF(Calculation!E78=Calculation!$A$145,Calculation!B78,"")</f>
        <v/>
      </c>
      <c r="B78" s="53" t="str">
        <f>IF(Calculation!E78=Calculation!$A$145,Calculation!I78,"")</f>
        <v/>
      </c>
      <c r="C78" s="52" t="str">
        <f>IF(Calculation!E78=Calculation!$A$145,Calculation!D78,"")</f>
        <v/>
      </c>
      <c r="D78" s="52" t="str">
        <f>IF(Calculation!E78=Calculation!$A$145,Calculation!$A$66,"")</f>
        <v/>
      </c>
      <c r="E78" s="52" t="str">
        <f>IF(Calculation!E78=Calculation!$A$145,Calculation!C78,"")</f>
        <v/>
      </c>
      <c r="F78" s="52" t="str">
        <f>IF(Calculation!E78=Calculation!$A$145,Calculation!F78,"")</f>
        <v/>
      </c>
      <c r="G78" s="54" t="str">
        <f>IF(Calculation!E78=Calculation!$A$145,Calculation!G78,"")</f>
        <v/>
      </c>
      <c r="H78" s="54" t="str">
        <f>IF(Calculation!E78=Calculation!$A$145,Calculation!H78,"")</f>
        <v/>
      </c>
      <c r="I78" s="55"/>
    </row>
    <row r="79" ht="24.0" customHeight="1">
      <c r="A79" s="52" t="str">
        <f>IF(Calculation!E79=Calculation!$A$145,Calculation!B79,"")</f>
        <v/>
      </c>
      <c r="B79" s="53" t="str">
        <f>IF(Calculation!E79=Calculation!$A$145,Calculation!I79,"")</f>
        <v/>
      </c>
      <c r="C79" s="52" t="str">
        <f>IF(Calculation!E79=Calculation!$A$145,Calculation!D79,"")</f>
        <v/>
      </c>
      <c r="D79" s="52" t="str">
        <f>IF(Calculation!E79=Calculation!$A$145,Calculation!$A$79,"")</f>
        <v/>
      </c>
      <c r="E79" s="52" t="str">
        <f>IF(Calculation!E79=Calculation!$A$145,Calculation!C79,"")</f>
        <v/>
      </c>
      <c r="F79" s="52" t="str">
        <f>IF(Calculation!E79=Calculation!$A$145,Calculation!F79,"")</f>
        <v/>
      </c>
      <c r="G79" s="54" t="str">
        <f>IF(Calculation!E79=Calculation!$A$145,Calculation!G79,"")</f>
        <v/>
      </c>
      <c r="H79" s="54" t="str">
        <f>IF(Calculation!E79=Calculation!$A$145,Calculation!H79,"")</f>
        <v/>
      </c>
      <c r="I79" s="55"/>
    </row>
    <row r="80" ht="21.75" customHeight="1">
      <c r="A80" s="52" t="str">
        <f>IF(Calculation!E80=Calculation!$A$145,Calculation!B80,"")</f>
        <v/>
      </c>
      <c r="B80" s="53" t="str">
        <f>IF(Calculation!E80=Calculation!$A$145,Calculation!I80,"")</f>
        <v/>
      </c>
      <c r="C80" s="52" t="str">
        <f>IF(Calculation!E80=Calculation!$A$145,Calculation!D80,"")</f>
        <v/>
      </c>
      <c r="D80" s="52" t="str">
        <f>IF(Calculation!E80=Calculation!$A$145,Calculation!$A$79,"")</f>
        <v/>
      </c>
      <c r="E80" s="52" t="str">
        <f>IF(Calculation!E80=Calculation!$A$145,Calculation!C80,"")</f>
        <v/>
      </c>
      <c r="F80" s="52" t="str">
        <f>IF(Calculation!E80=Calculation!$A$145,Calculation!F80,"")</f>
        <v/>
      </c>
      <c r="G80" s="54" t="str">
        <f>IF(Calculation!E80=Calculation!$A$145,Calculation!G80,"")</f>
        <v/>
      </c>
      <c r="H80" s="54" t="str">
        <f>IF(Calculation!E80=Calculation!$A$145,Calculation!H80,"")</f>
        <v/>
      </c>
      <c r="I80" s="55"/>
    </row>
    <row r="81" ht="20.25" customHeight="1">
      <c r="A81" s="52" t="str">
        <f>IF(Calculation!E81=Calculation!$A$145,Calculation!B81,"")</f>
        <v/>
      </c>
      <c r="B81" s="53" t="str">
        <f>IF(Calculation!E81=Calculation!$A$145,Calculation!I81,"")</f>
        <v/>
      </c>
      <c r="C81" s="52" t="str">
        <f>IF(Calculation!E81=Calculation!$A$145,Calculation!D81,"")</f>
        <v/>
      </c>
      <c r="D81" s="52" t="str">
        <f>IF(Calculation!E81=Calculation!$A$145,Calculation!$A$79,"")</f>
        <v/>
      </c>
      <c r="E81" s="52" t="str">
        <f>IF(Calculation!E81=Calculation!$A$145,Calculation!C81,"")</f>
        <v/>
      </c>
      <c r="F81" s="52" t="str">
        <f>IF(Calculation!E81=Calculation!$A$145,Calculation!F81,"")</f>
        <v/>
      </c>
      <c r="G81" s="54" t="str">
        <f>IF(Calculation!E81=Calculation!$A$145,Calculation!G81,"")</f>
        <v/>
      </c>
      <c r="H81" s="54" t="str">
        <f>IF(Calculation!E81=Calculation!$A$145,Calculation!H81,"")</f>
        <v/>
      </c>
      <c r="I81" s="55"/>
    </row>
    <row r="82">
      <c r="A82" s="52" t="str">
        <f>IF(Calculation!E82=Calculation!$A$145,Calculation!B82,"")</f>
        <v/>
      </c>
      <c r="B82" s="53" t="str">
        <f>IF(Calculation!E82=Calculation!$A$145,Calculation!I82,"")</f>
        <v/>
      </c>
      <c r="C82" s="52" t="str">
        <f>IF(Calculation!E82=Calculation!$A$145,Calculation!D82,"")</f>
        <v/>
      </c>
      <c r="D82" s="52" t="str">
        <f>IF(Calculation!E82=Calculation!$A$145,Calculation!$A$79,"")</f>
        <v/>
      </c>
      <c r="E82" s="52" t="str">
        <f>IF(Calculation!E82=Calculation!$A$145,Calculation!C82,"")</f>
        <v/>
      </c>
      <c r="F82" s="52" t="str">
        <f>IF(Calculation!E82=Calculation!$A$145,Calculation!F82,"")</f>
        <v/>
      </c>
      <c r="G82" s="54" t="str">
        <f>IF(Calculation!E82=Calculation!$A$145,Calculation!G82,"")</f>
        <v/>
      </c>
      <c r="H82" s="54" t="str">
        <f>IF(Calculation!E82=Calculation!$A$145,Calculation!H82,"")</f>
        <v/>
      </c>
      <c r="I82" s="55"/>
    </row>
    <row r="83">
      <c r="A83" s="52" t="str">
        <f>IF(Calculation!E83=Calculation!$A$145,Calculation!B83,"")</f>
        <v/>
      </c>
      <c r="B83" s="53" t="str">
        <f>IF(Calculation!E83=Calculation!$A$145,Calculation!I83,"")</f>
        <v/>
      </c>
      <c r="C83" s="52" t="str">
        <f>IF(Calculation!E83=Calculation!$A$145,Calculation!D83,"")</f>
        <v/>
      </c>
      <c r="D83" s="52" t="str">
        <f>IF(Calculation!E83=Calculation!$A$145,Calculation!$A$79,"")</f>
        <v/>
      </c>
      <c r="E83" s="52" t="str">
        <f>IF(Calculation!E83=Calculation!$A$145,Calculation!C83,"")</f>
        <v/>
      </c>
      <c r="F83" s="52" t="str">
        <f>IF(Calculation!E83=Calculation!$A$145,Calculation!F83,"")</f>
        <v/>
      </c>
      <c r="G83" s="54" t="str">
        <f>IF(Calculation!E83=Calculation!$A$145,Calculation!G83,"")</f>
        <v/>
      </c>
      <c r="H83" s="54" t="str">
        <f>IF(Calculation!E83=Calculation!$A$145,Calculation!H83,"")</f>
        <v/>
      </c>
      <c r="I83" s="55"/>
    </row>
    <row r="84">
      <c r="A84" s="52" t="str">
        <f>IF(Calculation!E84=Calculation!$A$145,Calculation!B84,"")</f>
        <v/>
      </c>
      <c r="B84" s="53" t="str">
        <f>IF(Calculation!E84=Calculation!$A$145,Calculation!I84,"")</f>
        <v/>
      </c>
      <c r="C84" s="52" t="str">
        <f>IF(Calculation!E84=Calculation!$A$145,Calculation!D84,"")</f>
        <v/>
      </c>
      <c r="D84" s="52" t="str">
        <f>IF(Calculation!E84=Calculation!$A$145,Calculation!$A$79,"")</f>
        <v/>
      </c>
      <c r="E84" s="52" t="str">
        <f>IF(Calculation!E84=Calculation!$A$145,Calculation!C84,"")</f>
        <v/>
      </c>
      <c r="F84" s="52" t="str">
        <f>IF(Calculation!E84=Calculation!$A$145,Calculation!F84,"")</f>
        <v/>
      </c>
      <c r="G84" s="54" t="str">
        <f>IF(Calculation!E84=Calculation!$A$145,Calculation!G84,"")</f>
        <v/>
      </c>
      <c r="H84" s="54" t="str">
        <f>IF(Calculation!E84=Calculation!$A$145,Calculation!H84,"")</f>
        <v/>
      </c>
      <c r="I84" s="55"/>
    </row>
    <row r="85">
      <c r="A85" s="52" t="str">
        <f>IF(Calculation!E85=Calculation!$A$145,Calculation!B85,"")</f>
        <v/>
      </c>
      <c r="B85" s="53" t="str">
        <f>IF(Calculation!E85=Calculation!$A$145,Calculation!I85,"")</f>
        <v/>
      </c>
      <c r="C85" s="52" t="str">
        <f>IF(Calculation!E85=Calculation!$A$145,Calculation!D85,"")</f>
        <v/>
      </c>
      <c r="D85" s="52" t="str">
        <f>IF(Calculation!E85=Calculation!$A$145,Calculation!$A$79,"")</f>
        <v/>
      </c>
      <c r="E85" s="52" t="str">
        <f>IF(Calculation!E85=Calculation!$A$145,Calculation!C85,"")</f>
        <v/>
      </c>
      <c r="F85" s="52" t="str">
        <f>IF(Calculation!E85=Calculation!$A$145,Calculation!F85,"")</f>
        <v/>
      </c>
      <c r="G85" s="54" t="str">
        <f>IF(Calculation!E85=Calculation!$A$145,Calculation!G85,"")</f>
        <v/>
      </c>
      <c r="H85" s="54" t="str">
        <f>IF(Calculation!E85=Calculation!$A$145,Calculation!H85,"")</f>
        <v/>
      </c>
      <c r="I85" s="55"/>
    </row>
    <row r="86">
      <c r="A86" s="52" t="str">
        <f>IF(Calculation!E86=Calculation!$A$145,Calculation!B86,"")</f>
        <v/>
      </c>
      <c r="B86" s="53" t="str">
        <f>IF(Calculation!E86=Calculation!$A$145,Calculation!I86,"")</f>
        <v/>
      </c>
      <c r="C86" s="52" t="str">
        <f>IF(Calculation!E86=Calculation!$A$145,Calculation!D86,"")</f>
        <v/>
      </c>
      <c r="D86" s="52" t="str">
        <f>IF(Calculation!E86=Calculation!$A$145,Calculation!$A$79,"")</f>
        <v/>
      </c>
      <c r="E86" s="52" t="str">
        <f>IF(Calculation!E86=Calculation!$A$145,Calculation!C86,"")</f>
        <v/>
      </c>
      <c r="F86" s="52" t="str">
        <f>IF(Calculation!E86=Calculation!$A$145,Calculation!F86,"")</f>
        <v/>
      </c>
      <c r="G86" s="54" t="str">
        <f>IF(Calculation!E86=Calculation!$A$145,Calculation!G86,"")</f>
        <v/>
      </c>
      <c r="H86" s="54" t="str">
        <f>IF(Calculation!E86=Calculation!$A$145,Calculation!H86,"")</f>
        <v/>
      </c>
      <c r="I86" s="55"/>
    </row>
    <row r="87">
      <c r="A87" s="52" t="str">
        <f>IF(Calculation!E87=Calculation!$A$145,Calculation!B87,"")</f>
        <v/>
      </c>
      <c r="B87" s="53" t="str">
        <f>IF(Calculation!E87=Calculation!$A$145,Calculation!I87,"")</f>
        <v/>
      </c>
      <c r="C87" s="52" t="str">
        <f>IF(Calculation!E87=Calculation!$A$145,Calculation!D87,"")</f>
        <v/>
      </c>
      <c r="D87" s="52" t="str">
        <f>IF(Calculation!E87=Calculation!$A$145,Calculation!$A$79,"")</f>
        <v/>
      </c>
      <c r="E87" s="52" t="str">
        <f>IF(Calculation!E87=Calculation!$A$145,Calculation!C87,"")</f>
        <v/>
      </c>
      <c r="F87" s="52" t="str">
        <f>IF(Calculation!E87=Calculation!$A$145,Calculation!F87,"")</f>
        <v/>
      </c>
      <c r="G87" s="54" t="str">
        <f>IF(Calculation!E87=Calculation!$A$145,Calculation!G87,"")</f>
        <v/>
      </c>
      <c r="H87" s="54" t="str">
        <f>IF(Calculation!E87=Calculation!$A$145,Calculation!H87,"")</f>
        <v/>
      </c>
      <c r="I87" s="55"/>
    </row>
    <row r="88">
      <c r="A88" s="52" t="str">
        <f>IF(Calculation!E88=Calculation!$A$145,Calculation!B88,"")</f>
        <v/>
      </c>
      <c r="B88" s="53" t="str">
        <f>IF(Calculation!E88=Calculation!$A$145,Calculation!I88,"")</f>
        <v/>
      </c>
      <c r="C88" s="52" t="str">
        <f>IF(Calculation!E88=Calculation!$A$145,Calculation!D88,"")</f>
        <v/>
      </c>
      <c r="D88" s="52" t="str">
        <f>IF(Calculation!E88=Calculation!$A$145,Calculation!$A$79,"")</f>
        <v/>
      </c>
      <c r="E88" s="52" t="str">
        <f>IF(Calculation!E88=Calculation!$A$145,Calculation!C88,"")</f>
        <v/>
      </c>
      <c r="F88" s="52" t="str">
        <f>IF(Calculation!E88=Calculation!$A$145,Calculation!F88,"")</f>
        <v/>
      </c>
      <c r="G88" s="54" t="str">
        <f>IF(Calculation!E88=Calculation!$A$145,Calculation!G88,"")</f>
        <v/>
      </c>
      <c r="H88" s="54" t="str">
        <f>IF(Calculation!E88=Calculation!$A$145,Calculation!H88,"")</f>
        <v/>
      </c>
      <c r="I88" s="55"/>
    </row>
    <row r="89">
      <c r="A89" s="52" t="str">
        <f>IF(Calculation!E89=Calculation!$A$145,Calculation!B89,"")</f>
        <v/>
      </c>
      <c r="B89" s="53" t="str">
        <f>IF(Calculation!E89=Calculation!$A$145,Calculation!I89,"")</f>
        <v/>
      </c>
      <c r="C89" s="52" t="str">
        <f>IF(Calculation!E89=Calculation!$A$145,Calculation!D89,"")</f>
        <v/>
      </c>
      <c r="D89" s="52" t="str">
        <f>IF(Calculation!E89=Calculation!$A$145,Calculation!$A$79,"")</f>
        <v/>
      </c>
      <c r="E89" s="52" t="str">
        <f>IF(Calculation!E89=Calculation!$A$145,Calculation!C89,"")</f>
        <v/>
      </c>
      <c r="F89" s="52" t="str">
        <f>IF(Calculation!E89=Calculation!$A$145,Calculation!F89,"")</f>
        <v/>
      </c>
      <c r="G89" s="54" t="str">
        <f>IF(Calculation!E89=Calculation!$A$145,Calculation!G89,"")</f>
        <v/>
      </c>
      <c r="H89" s="54" t="str">
        <f>IF(Calculation!E89=Calculation!$A$145,Calculation!H89,"")</f>
        <v/>
      </c>
      <c r="I89" s="55"/>
    </row>
    <row r="90">
      <c r="A90" s="52" t="str">
        <f>IF(Calculation!E90=Calculation!$A$145,Calculation!B90,"")</f>
        <v/>
      </c>
      <c r="B90" s="53" t="str">
        <f>IF(Calculation!E90=Calculation!$A$145,Calculation!I90,"")</f>
        <v/>
      </c>
      <c r="C90" s="52" t="str">
        <f>IF(Calculation!E90=Calculation!$A$145,Calculation!D90,"")</f>
        <v/>
      </c>
      <c r="D90" s="52" t="str">
        <f>IF(Calculation!E90=Calculation!$A$145,Calculation!$A$79,"")</f>
        <v/>
      </c>
      <c r="E90" s="52" t="str">
        <f>IF(Calculation!E90=Calculation!$A$145,Calculation!C90,"")</f>
        <v/>
      </c>
      <c r="F90" s="52" t="str">
        <f>IF(Calculation!E90=Calculation!$A$145,Calculation!F90,"")</f>
        <v/>
      </c>
      <c r="G90" s="54" t="str">
        <f>IF(Calculation!E90=Calculation!$A$145,Calculation!G90,"")</f>
        <v/>
      </c>
      <c r="H90" s="54" t="str">
        <f>IF(Calculation!E90=Calculation!$A$145,Calculation!H90,"")</f>
        <v/>
      </c>
      <c r="I90" s="55"/>
    </row>
    <row r="91">
      <c r="A91" s="52" t="str">
        <f>IF(Calculation!E91=Calculation!$A$145,Calculation!B91,"")</f>
        <v/>
      </c>
      <c r="B91" s="53" t="str">
        <f>IF(Calculation!E91=Calculation!$A$145,Calculation!I91,"")</f>
        <v/>
      </c>
      <c r="C91" s="52" t="str">
        <f>IF(Calculation!E91=Calculation!$A$145,Calculation!D91,"")</f>
        <v/>
      </c>
      <c r="D91" s="52" t="str">
        <f>IF(Calculation!E91=Calculation!$A$145,Calculation!$A$79,"")</f>
        <v/>
      </c>
      <c r="E91" s="52" t="str">
        <f>IF(Calculation!E91=Calculation!$A$145,Calculation!C91,"")</f>
        <v/>
      </c>
      <c r="F91" s="52" t="str">
        <f>IF(Calculation!E91=Calculation!$A$145,Calculation!F91,"")</f>
        <v/>
      </c>
      <c r="G91" s="54" t="str">
        <f>IF(Calculation!E91=Calculation!$A$145,Calculation!G91,"")</f>
        <v/>
      </c>
      <c r="H91" s="54" t="str">
        <f>IF(Calculation!E91=Calculation!$A$145,Calculation!H91,"")</f>
        <v/>
      </c>
      <c r="I91" s="55"/>
    </row>
    <row r="92">
      <c r="A92" s="52" t="str">
        <f>IF(Calculation!E92=Calculation!$A$145,Calculation!B92,"")</f>
        <v/>
      </c>
      <c r="B92" s="53" t="str">
        <f>IF(Calculation!E92=Calculation!$A$145,Calculation!I92,"")</f>
        <v/>
      </c>
      <c r="C92" s="52" t="str">
        <f>IF(Calculation!E92=Calculation!$A$145,Calculation!D92,"")</f>
        <v/>
      </c>
      <c r="D92" s="52" t="str">
        <f>IF(Calculation!E92=Calculation!$A$145,Calculation!$A$92,"")</f>
        <v/>
      </c>
      <c r="E92" s="52" t="str">
        <f>IF(Calculation!E92=Calculation!$A$145,Calculation!C92,"")</f>
        <v/>
      </c>
      <c r="F92" s="52" t="str">
        <f>IF(Calculation!E92=Calculation!$A$145,Calculation!F92,"")</f>
        <v/>
      </c>
      <c r="G92" s="54" t="str">
        <f>IF(Calculation!E92=Calculation!$A$145,Calculation!G92,"")</f>
        <v/>
      </c>
      <c r="H92" s="54" t="str">
        <f>IF(Calculation!E92=Calculation!$A$145,Calculation!H92,"")</f>
        <v/>
      </c>
      <c r="I92" s="55"/>
    </row>
    <row r="93">
      <c r="A93" s="52" t="str">
        <f>IF(Calculation!E93=Calculation!$A$145,Calculation!B93,"")</f>
        <v/>
      </c>
      <c r="B93" s="53" t="str">
        <f>IF(Calculation!E93=Calculation!$A$145,Calculation!I93,"")</f>
        <v/>
      </c>
      <c r="C93" s="52" t="str">
        <f>IF(Calculation!E93=Calculation!$A$145,Calculation!D93,"")</f>
        <v/>
      </c>
      <c r="D93" s="52" t="str">
        <f>IF(Calculation!E93=Calculation!$A$145,Calculation!$A$92,"")</f>
        <v/>
      </c>
      <c r="E93" s="52" t="str">
        <f>IF(Calculation!E93=Calculation!$A$145,Calculation!C93,"")</f>
        <v/>
      </c>
      <c r="F93" s="52" t="str">
        <f>IF(Calculation!E93=Calculation!$A$145,Calculation!F93,"")</f>
        <v/>
      </c>
      <c r="G93" s="54" t="str">
        <f>IF(Calculation!E93=Calculation!$A$145,Calculation!G93,"")</f>
        <v/>
      </c>
      <c r="H93" s="54" t="str">
        <f>IF(Calculation!E93=Calculation!$A$145,Calculation!H93,"")</f>
        <v/>
      </c>
      <c r="I93" s="55"/>
    </row>
    <row r="94">
      <c r="A94" s="52" t="str">
        <f>IF(Calculation!E94=Calculation!$A$145,Calculation!B94,"")</f>
        <v/>
      </c>
      <c r="B94" s="53" t="str">
        <f>IF(Calculation!E94=Calculation!$A$145,Calculation!I94,"")</f>
        <v/>
      </c>
      <c r="C94" s="52" t="str">
        <f>IF(Calculation!E94=Calculation!$A$145,Calculation!D94,"")</f>
        <v/>
      </c>
      <c r="D94" s="52" t="str">
        <f>IF(Calculation!E94=Calculation!$A$145,Calculation!$A$92,"")</f>
        <v/>
      </c>
      <c r="E94" s="52" t="str">
        <f>IF(Calculation!E94=Calculation!$A$145,Calculation!C94,"")</f>
        <v/>
      </c>
      <c r="F94" s="52" t="str">
        <f>IF(Calculation!E94=Calculation!$A$145,Calculation!F94,"")</f>
        <v/>
      </c>
      <c r="G94" s="54" t="str">
        <f>IF(Calculation!E94=Calculation!$A$145,Calculation!G94,"")</f>
        <v/>
      </c>
      <c r="H94" s="54" t="str">
        <f>IF(Calculation!E94=Calculation!$A$145,Calculation!H94,"")</f>
        <v/>
      </c>
      <c r="I94" s="55"/>
    </row>
    <row r="95">
      <c r="A95" s="52" t="str">
        <f>IF(Calculation!E95=Calculation!$A$145,Calculation!B95,"")</f>
        <v/>
      </c>
      <c r="B95" s="53" t="str">
        <f>IF(Calculation!E95=Calculation!$A$145,Calculation!I95,"")</f>
        <v/>
      </c>
      <c r="C95" s="52" t="str">
        <f>IF(Calculation!E95=Calculation!$A$145,Calculation!D95,"")</f>
        <v/>
      </c>
      <c r="D95" s="52" t="str">
        <f>IF(Calculation!E95=Calculation!$A$145,Calculation!$A$92,"")</f>
        <v/>
      </c>
      <c r="E95" s="52" t="str">
        <f>IF(Calculation!E95=Calculation!$A$145,Calculation!C95,"")</f>
        <v/>
      </c>
      <c r="F95" s="52" t="str">
        <f>IF(Calculation!E95=Calculation!$A$145,Calculation!F95,"")</f>
        <v/>
      </c>
      <c r="G95" s="54" t="str">
        <f>IF(Calculation!E95=Calculation!$A$145,Calculation!G95,"")</f>
        <v/>
      </c>
      <c r="H95" s="54" t="str">
        <f>IF(Calculation!E95=Calculation!$A$145,Calculation!H95,"")</f>
        <v/>
      </c>
      <c r="I95" s="55"/>
    </row>
    <row r="96">
      <c r="A96" s="52" t="str">
        <f>IF(Calculation!E96=Calculation!$A$145,Calculation!B96,"")</f>
        <v/>
      </c>
      <c r="B96" s="53" t="str">
        <f>IF(Calculation!E96=Calculation!$A$145,Calculation!I96,"")</f>
        <v/>
      </c>
      <c r="C96" s="52" t="str">
        <f>IF(Calculation!E96=Calculation!$A$145,Calculation!D96,"")</f>
        <v/>
      </c>
      <c r="D96" s="52" t="str">
        <f>IF(Calculation!E96=Calculation!$A$145,Calculation!$A$92,"")</f>
        <v/>
      </c>
      <c r="E96" s="52" t="str">
        <f>IF(Calculation!E96=Calculation!$A$145,Calculation!C96,"")</f>
        <v/>
      </c>
      <c r="F96" s="52" t="str">
        <f>IF(Calculation!E96=Calculation!$A$145,Calculation!F96,"")</f>
        <v/>
      </c>
      <c r="G96" s="54" t="str">
        <f>IF(Calculation!E96=Calculation!$A$145,Calculation!G96,"")</f>
        <v/>
      </c>
      <c r="H96" s="54" t="str">
        <f>IF(Calculation!E96=Calculation!$A$145,Calculation!H96,"")</f>
        <v/>
      </c>
      <c r="I96" s="55"/>
    </row>
    <row r="97">
      <c r="A97" s="52" t="str">
        <f>IF(Calculation!E97=Calculation!$A$145,Calculation!B97,"")</f>
        <v/>
      </c>
      <c r="B97" s="53" t="str">
        <f>IF(Calculation!E97=Calculation!$A$145,Calculation!I97,"")</f>
        <v/>
      </c>
      <c r="C97" s="52" t="str">
        <f>IF(Calculation!E97=Calculation!$A$145,Calculation!D97,"")</f>
        <v/>
      </c>
      <c r="D97" s="52" t="str">
        <f>IF(Calculation!E97=Calculation!$A$145,Calculation!$A$92,"")</f>
        <v/>
      </c>
      <c r="E97" s="52" t="str">
        <f>IF(Calculation!E97=Calculation!$A$145,Calculation!C97,"")</f>
        <v/>
      </c>
      <c r="F97" s="52" t="str">
        <f>IF(Calculation!E97=Calculation!$A$145,Calculation!F97,"")</f>
        <v/>
      </c>
      <c r="G97" s="54" t="str">
        <f>IF(Calculation!E97=Calculation!$A$145,Calculation!G97,"")</f>
        <v/>
      </c>
      <c r="H97" s="54" t="str">
        <f>IF(Calculation!E97=Calculation!$A$145,Calculation!H97,"")</f>
        <v/>
      </c>
      <c r="I97" s="55"/>
    </row>
    <row r="98">
      <c r="A98" s="52" t="str">
        <f>IF(Calculation!E98=Calculation!$A$145,Calculation!B98,"")</f>
        <v/>
      </c>
      <c r="B98" s="53" t="str">
        <f>IF(Calculation!E98=Calculation!$A$145,Calculation!I98,"")</f>
        <v/>
      </c>
      <c r="C98" s="52" t="str">
        <f>IF(Calculation!E98=Calculation!$A$145,Calculation!D98,"")</f>
        <v/>
      </c>
      <c r="D98" s="52" t="str">
        <f>IF(Calculation!E98=Calculation!$A$145,Calculation!$A$92,"")</f>
        <v/>
      </c>
      <c r="E98" s="52" t="str">
        <f>IF(Calculation!E98=Calculation!$A$145,Calculation!C98,"")</f>
        <v/>
      </c>
      <c r="F98" s="52" t="str">
        <f>IF(Calculation!E98=Calculation!$A$145,Calculation!F98,"")</f>
        <v/>
      </c>
      <c r="G98" s="54" t="str">
        <f>IF(Calculation!E98=Calculation!$A$145,Calculation!G98,"")</f>
        <v/>
      </c>
      <c r="H98" s="54" t="str">
        <f>IF(Calculation!E98=Calculation!$A$145,Calculation!H98,"")</f>
        <v/>
      </c>
      <c r="I98" s="55"/>
    </row>
    <row r="99">
      <c r="A99" s="52" t="str">
        <f>IF(Calculation!E99=Calculation!$A$145,Calculation!B99,"")</f>
        <v/>
      </c>
      <c r="B99" s="53" t="str">
        <f>IF(Calculation!E99=Calculation!$A$145,Calculation!I99,"")</f>
        <v/>
      </c>
      <c r="C99" s="52" t="str">
        <f>IF(Calculation!E99=Calculation!$A$145,Calculation!D99,"")</f>
        <v/>
      </c>
      <c r="D99" s="52" t="str">
        <f>IF(Calculation!E99=Calculation!$A$145,Calculation!$A$92,"")</f>
        <v/>
      </c>
      <c r="E99" s="52" t="str">
        <f>IF(Calculation!E99=Calculation!$A$145,Calculation!C99,"")</f>
        <v/>
      </c>
      <c r="F99" s="52" t="str">
        <f>IF(Calculation!E99=Calculation!$A$145,Calculation!F99,"")</f>
        <v/>
      </c>
      <c r="G99" s="54" t="str">
        <f>IF(Calculation!E99=Calculation!$A$145,Calculation!G99,"")</f>
        <v/>
      </c>
      <c r="H99" s="54" t="str">
        <f>IF(Calculation!E99=Calculation!$A$145,Calculation!H99,"")</f>
        <v/>
      </c>
      <c r="I99" s="55"/>
    </row>
    <row r="100">
      <c r="A100" s="52" t="str">
        <f>IF(Calculation!E100=Calculation!$A$145,Calculation!B100,"")</f>
        <v/>
      </c>
      <c r="B100" s="53" t="str">
        <f>IF(Calculation!E100=Calculation!$A$145,Calculation!I100,"")</f>
        <v/>
      </c>
      <c r="C100" s="52" t="str">
        <f>IF(Calculation!E100=Calculation!$A$145,Calculation!D100,"")</f>
        <v/>
      </c>
      <c r="D100" s="52" t="str">
        <f>IF(Calculation!E100=Calculation!$A$145,Calculation!$A$92,"")</f>
        <v/>
      </c>
      <c r="E100" s="52" t="str">
        <f>IF(Calculation!E100=Calculation!$A$145,Calculation!C100,"")</f>
        <v/>
      </c>
      <c r="F100" s="52" t="str">
        <f>IF(Calculation!E100=Calculation!$A$145,Calculation!F100,"")</f>
        <v/>
      </c>
      <c r="G100" s="54" t="str">
        <f>IF(Calculation!E100=Calculation!$A$145,Calculation!G100,"")</f>
        <v/>
      </c>
      <c r="H100" s="54" t="str">
        <f>IF(Calculation!E100=Calculation!$A$145,Calculation!H100,"")</f>
        <v/>
      </c>
      <c r="I100" s="55"/>
    </row>
    <row r="101">
      <c r="A101" s="52" t="str">
        <f>IF(Calculation!E101=Calculation!$A$145,Calculation!B101,"")</f>
        <v/>
      </c>
      <c r="B101" s="53" t="str">
        <f>IF(Calculation!E101=Calculation!$A$145,Calculation!I101,"")</f>
        <v/>
      </c>
      <c r="C101" s="52" t="str">
        <f>IF(Calculation!E101=Calculation!$A$145,Calculation!D101,"")</f>
        <v/>
      </c>
      <c r="D101" s="52" t="str">
        <f>IF(Calculation!E101=Calculation!$A$145,Calculation!$A$92,"")</f>
        <v/>
      </c>
      <c r="E101" s="52" t="str">
        <f>IF(Calculation!E101=Calculation!$A$145,Calculation!C101,"")</f>
        <v/>
      </c>
      <c r="F101" s="52" t="str">
        <f>IF(Calculation!E101=Calculation!$A$145,Calculation!F101,"")</f>
        <v/>
      </c>
      <c r="G101" s="54" t="str">
        <f>IF(Calculation!E101=Calculation!$A$145,Calculation!G101,"")</f>
        <v/>
      </c>
      <c r="H101" s="54" t="str">
        <f>IF(Calculation!E101=Calculation!$A$145,Calculation!H101,"")</f>
        <v/>
      </c>
      <c r="I101" s="55"/>
    </row>
    <row r="102">
      <c r="A102" s="52" t="str">
        <f>IF(Calculation!E102=Calculation!$A$145,Calculation!B102,"")</f>
        <v/>
      </c>
      <c r="B102" s="53" t="str">
        <f>IF(Calculation!E102=Calculation!$A$145,Calculation!I102,"")</f>
        <v/>
      </c>
      <c r="C102" s="52" t="str">
        <f>IF(Calculation!E102=Calculation!$A$145,Calculation!D102,"")</f>
        <v/>
      </c>
      <c r="D102" s="52" t="str">
        <f>IF(Calculation!E102=Calculation!$A$145,Calculation!$A$92,"")</f>
        <v/>
      </c>
      <c r="E102" s="52" t="str">
        <f>IF(Calculation!E102=Calculation!$A$145,Calculation!C102,"")</f>
        <v/>
      </c>
      <c r="F102" s="52" t="str">
        <f>IF(Calculation!E102=Calculation!$A$145,Calculation!F102,"")</f>
        <v/>
      </c>
      <c r="G102" s="54" t="str">
        <f>IF(Calculation!E102=Calculation!$A$145,Calculation!G102,"")</f>
        <v/>
      </c>
      <c r="H102" s="54" t="str">
        <f>IF(Calculation!E102=Calculation!$A$145,Calculation!H102,"")</f>
        <v/>
      </c>
      <c r="I102" s="55"/>
    </row>
    <row r="103">
      <c r="A103" s="52" t="str">
        <f>IF(Calculation!E103=Calculation!$A$145,Calculation!B103,"")</f>
        <v/>
      </c>
      <c r="B103" s="53" t="str">
        <f>IF(Calculation!E103=Calculation!$A$145,Calculation!I103,"")</f>
        <v/>
      </c>
      <c r="C103" s="52" t="str">
        <f>IF(Calculation!E103=Calculation!$A$145,Calculation!D103,"")</f>
        <v/>
      </c>
      <c r="D103" s="52" t="str">
        <f>IF(Calculation!E103=Calculation!$A$145,Calculation!$A$92,"")</f>
        <v/>
      </c>
      <c r="E103" s="52" t="str">
        <f>IF(Calculation!E103=Calculation!$A$145,Calculation!C103,"")</f>
        <v/>
      </c>
      <c r="F103" s="52" t="str">
        <f>IF(Calculation!E103=Calculation!$A$145,Calculation!F103,"")</f>
        <v/>
      </c>
      <c r="G103" s="54" t="str">
        <f>IF(Calculation!E103=Calculation!$A$145,Calculation!G103,"")</f>
        <v/>
      </c>
      <c r="H103" s="54" t="str">
        <f>IF(Calculation!E103=Calculation!$A$145,Calculation!H103,"")</f>
        <v/>
      </c>
      <c r="I103" s="55"/>
    </row>
    <row r="104">
      <c r="A104" s="52" t="str">
        <f>IF(Calculation!E104=Calculation!$A$145,Calculation!B104,"")</f>
        <v/>
      </c>
      <c r="B104" s="53" t="str">
        <f>IF(Calculation!E104=Calculation!$A$145,Calculation!I104,"")</f>
        <v/>
      </c>
      <c r="C104" s="52" t="str">
        <f>IF(Calculation!E104=Calculation!$A$145,Calculation!D104,"")</f>
        <v/>
      </c>
      <c r="D104" s="52" t="str">
        <f>IF(Calculation!E104=Calculation!$A$145,Calculation!$A$92,"")</f>
        <v/>
      </c>
      <c r="E104" s="52" t="str">
        <f>IF(Calculation!E104=Calculation!$A$145,Calculation!C104,"")</f>
        <v/>
      </c>
      <c r="F104" s="52" t="str">
        <f>IF(Calculation!E104=Calculation!$A$145,Calculation!F104,"")</f>
        <v/>
      </c>
      <c r="G104" s="54" t="str">
        <f>IF(Calculation!E104=Calculation!$A$145,Calculation!G104,"")</f>
        <v/>
      </c>
      <c r="H104" s="54" t="str">
        <f>IF(Calculation!E104=Calculation!$A$145,Calculation!H104,"")</f>
        <v/>
      </c>
      <c r="I104" s="55"/>
    </row>
    <row r="105">
      <c r="A105" s="52" t="str">
        <f>IF(Calculation!E105=Calculation!$A$145,Calculation!B105,"")</f>
        <v/>
      </c>
      <c r="B105" s="53" t="str">
        <f>IF(Calculation!E105=Calculation!$A$145,Calculation!I105,"")</f>
        <v/>
      </c>
      <c r="C105" s="52" t="str">
        <f>IF(Calculation!E105=Calculation!$A$145,Calculation!D105,"")</f>
        <v/>
      </c>
      <c r="D105" s="52" t="str">
        <f>IF(Calculation!E105=Calculation!$A$145,Calculation!$A$105,"")</f>
        <v/>
      </c>
      <c r="E105" s="52" t="str">
        <f>IF(Calculation!E105=Calculation!$A$145,Calculation!C105,"")</f>
        <v/>
      </c>
      <c r="F105" s="52" t="str">
        <f>IF(Calculation!E105=Calculation!$A$145,Calculation!F105,"")</f>
        <v/>
      </c>
      <c r="G105" s="54" t="str">
        <f>IF(Calculation!E105=Calculation!$A$145,Calculation!G105,"")</f>
        <v/>
      </c>
      <c r="H105" s="54" t="str">
        <f>IF(Calculation!E105=Calculation!$A$145,Calculation!H105,"")</f>
        <v/>
      </c>
      <c r="I105" s="55"/>
    </row>
    <row r="106">
      <c r="A106" s="52" t="str">
        <f>IF(Calculation!E106=Calculation!$A$145,Calculation!B106,"")</f>
        <v/>
      </c>
      <c r="B106" s="53" t="str">
        <f>IF(Calculation!E106=Calculation!$A$145,Calculation!I106,"")</f>
        <v/>
      </c>
      <c r="C106" s="52" t="str">
        <f>IF(Calculation!E106=Calculation!$A$145,Calculation!D106,"")</f>
        <v/>
      </c>
      <c r="D106" s="52" t="str">
        <f>IF(Calculation!E106=Calculation!$A$145,Calculation!$A$105,"")</f>
        <v/>
      </c>
      <c r="E106" s="52" t="str">
        <f>IF(Calculation!E106=Calculation!$A$145,Calculation!C106,"")</f>
        <v/>
      </c>
      <c r="F106" s="52" t="str">
        <f>IF(Calculation!E106=Calculation!$A$145,Calculation!F106,"")</f>
        <v/>
      </c>
      <c r="G106" s="54" t="str">
        <f>IF(Calculation!E106=Calculation!$A$145,Calculation!G106,"")</f>
        <v/>
      </c>
      <c r="H106" s="54" t="str">
        <f>IF(Calculation!E106=Calculation!$A$145,Calculation!H106,"")</f>
        <v/>
      </c>
      <c r="I106" s="55"/>
    </row>
    <row r="107">
      <c r="A107" s="52" t="str">
        <f>IF(Calculation!E107=Calculation!$A$145,Calculation!B107,"")</f>
        <v/>
      </c>
      <c r="B107" s="53" t="str">
        <f>IF(Calculation!E107=Calculation!$A$145,Calculation!I107,"")</f>
        <v/>
      </c>
      <c r="C107" s="52" t="str">
        <f>IF(Calculation!E107=Calculation!$A$145,Calculation!D107,"")</f>
        <v/>
      </c>
      <c r="D107" s="52" t="str">
        <f>IF(Calculation!E107=Calculation!$A$145,Calculation!$A$105,"")</f>
        <v/>
      </c>
      <c r="E107" s="52" t="str">
        <f>IF(Calculation!E107=Calculation!$A$145,Calculation!C107,"")</f>
        <v/>
      </c>
      <c r="F107" s="52" t="str">
        <f>IF(Calculation!E107=Calculation!$A$145,Calculation!F107,"")</f>
        <v/>
      </c>
      <c r="G107" s="54" t="str">
        <f>IF(Calculation!E107=Calculation!$A$145,Calculation!G107,"")</f>
        <v/>
      </c>
      <c r="H107" s="54" t="str">
        <f>IF(Calculation!E107=Calculation!$A$145,Calculation!H107,"")</f>
        <v/>
      </c>
      <c r="I107" s="55"/>
    </row>
    <row r="108">
      <c r="A108" s="52" t="str">
        <f>IF(Calculation!E108=Calculation!$A$145,Calculation!B108,"")</f>
        <v/>
      </c>
      <c r="B108" s="53" t="str">
        <f>IF(Calculation!E108=Calculation!$A$145,Calculation!I108,"")</f>
        <v/>
      </c>
      <c r="C108" s="52" t="str">
        <f>IF(Calculation!E108=Calculation!$A$145,Calculation!D108,"")</f>
        <v/>
      </c>
      <c r="D108" s="52" t="str">
        <f>IF(Calculation!E108=Calculation!$A$145,Calculation!$A$105,"")</f>
        <v/>
      </c>
      <c r="E108" s="52" t="str">
        <f>IF(Calculation!E108=Calculation!$A$145,Calculation!C108,"")</f>
        <v/>
      </c>
      <c r="F108" s="52" t="str">
        <f>IF(Calculation!E108=Calculation!$A$145,Calculation!F108,"")</f>
        <v/>
      </c>
      <c r="G108" s="54" t="str">
        <f>IF(Calculation!E108=Calculation!$A$145,Calculation!G108,"")</f>
        <v/>
      </c>
      <c r="H108" s="54" t="str">
        <f>IF(Calculation!E108=Calculation!$A$145,Calculation!H108,"")</f>
        <v/>
      </c>
      <c r="I108" s="55"/>
    </row>
    <row r="109">
      <c r="A109" s="52" t="str">
        <f>IF(Calculation!E109=Calculation!$A$145,Calculation!B109,"")</f>
        <v/>
      </c>
      <c r="B109" s="53" t="str">
        <f>IF(Calculation!E109=Calculation!$A$145,Calculation!I109,"")</f>
        <v/>
      </c>
      <c r="C109" s="52" t="str">
        <f>IF(Calculation!E109=Calculation!$A$145,Calculation!D109,"")</f>
        <v/>
      </c>
      <c r="D109" s="52" t="str">
        <f>IF(Calculation!E109=Calculation!$A$145,Calculation!$A$105,"")</f>
        <v/>
      </c>
      <c r="E109" s="52" t="str">
        <f>IF(Calculation!E109=Calculation!$A$145,Calculation!C109,"")</f>
        <v/>
      </c>
      <c r="F109" s="52" t="str">
        <f>IF(Calculation!E109=Calculation!$A$145,Calculation!F109,"")</f>
        <v/>
      </c>
      <c r="G109" s="54" t="str">
        <f>IF(Calculation!E109=Calculation!$A$145,Calculation!G109,"")</f>
        <v/>
      </c>
      <c r="H109" s="54" t="str">
        <f>IF(Calculation!E109=Calculation!$A$145,Calculation!H109,"")</f>
        <v/>
      </c>
      <c r="I109" s="55"/>
    </row>
    <row r="110">
      <c r="A110" s="52" t="str">
        <f>IF(Calculation!E110=Calculation!$A$145,Calculation!B110,"")</f>
        <v/>
      </c>
      <c r="B110" s="53" t="str">
        <f>IF(Calculation!E110=Calculation!$A$145,Calculation!I110,"")</f>
        <v/>
      </c>
      <c r="C110" s="52" t="str">
        <f>IF(Calculation!E110=Calculation!$A$145,Calculation!D110,"")</f>
        <v/>
      </c>
      <c r="D110" s="52" t="str">
        <f>IF(Calculation!E110=Calculation!$A$145,Calculation!$A$105,"")</f>
        <v/>
      </c>
      <c r="E110" s="52" t="str">
        <f>IF(Calculation!E110=Calculation!$A$145,Calculation!C110,"")</f>
        <v/>
      </c>
      <c r="F110" s="52" t="str">
        <f>IF(Calculation!E110=Calculation!$A$145,Calculation!F110,"")</f>
        <v/>
      </c>
      <c r="G110" s="54" t="str">
        <f>IF(Calculation!E110=Calculation!$A$145,Calculation!G110,"")</f>
        <v/>
      </c>
      <c r="H110" s="54" t="str">
        <f>IF(Calculation!E110=Calculation!$A$145,Calculation!H110,"")</f>
        <v/>
      </c>
      <c r="I110" s="55"/>
    </row>
    <row r="111">
      <c r="A111" s="52" t="str">
        <f>IF(Calculation!E111=Calculation!$A$145,Calculation!B111,"")</f>
        <v/>
      </c>
      <c r="B111" s="53" t="str">
        <f>IF(Calculation!E111=Calculation!$A$145,Calculation!I111,"")</f>
        <v/>
      </c>
      <c r="C111" s="52" t="str">
        <f>IF(Calculation!E111=Calculation!$A$145,Calculation!D111,"")</f>
        <v/>
      </c>
      <c r="D111" s="52" t="str">
        <f>IF(Calculation!E111=Calculation!$A$145,Calculation!$A$105,"")</f>
        <v/>
      </c>
      <c r="E111" s="52" t="str">
        <f>IF(Calculation!E111=Calculation!$A$145,Calculation!C111,"")</f>
        <v/>
      </c>
      <c r="F111" s="52" t="str">
        <f>IF(Calculation!E111=Calculation!$A$145,Calculation!F111,"")</f>
        <v/>
      </c>
      <c r="G111" s="54" t="str">
        <f>IF(Calculation!E111=Calculation!$A$145,Calculation!G111,"")</f>
        <v/>
      </c>
      <c r="H111" s="54" t="str">
        <f>IF(Calculation!E111=Calculation!$A$145,Calculation!H111,"")</f>
        <v/>
      </c>
      <c r="I111" s="55"/>
    </row>
    <row r="112">
      <c r="A112" s="52" t="str">
        <f>IF(Calculation!E112=Calculation!$A$145,Calculation!B112,"")</f>
        <v/>
      </c>
      <c r="B112" s="53" t="str">
        <f>IF(Calculation!E112=Calculation!$A$145,Calculation!I112,"")</f>
        <v/>
      </c>
      <c r="C112" s="52" t="str">
        <f>IF(Calculation!E112=Calculation!$A$145,Calculation!D112,"")</f>
        <v/>
      </c>
      <c r="D112" s="52" t="str">
        <f>IF(Calculation!E112=Calculation!$A$145,Calculation!$A$105,"")</f>
        <v/>
      </c>
      <c r="E112" s="52" t="str">
        <f>IF(Calculation!E112=Calculation!$A$145,Calculation!C112,"")</f>
        <v/>
      </c>
      <c r="F112" s="52" t="str">
        <f>IF(Calculation!E112=Calculation!$A$145,Calculation!F112,"")</f>
        <v/>
      </c>
      <c r="G112" s="54" t="str">
        <f>IF(Calculation!E112=Calculation!$A$145,Calculation!G112,"")</f>
        <v/>
      </c>
      <c r="H112" s="54" t="str">
        <f>IF(Calculation!E112=Calculation!$A$145,Calculation!H112,"")</f>
        <v/>
      </c>
      <c r="I112" s="55"/>
    </row>
    <row r="113">
      <c r="A113" s="52" t="str">
        <f>IF(Calculation!E113=Calculation!$A$145,Calculation!B113,"")</f>
        <v/>
      </c>
      <c r="B113" s="53" t="str">
        <f>IF(Calculation!E113=Calculation!$A$145,Calculation!I113,"")</f>
        <v/>
      </c>
      <c r="C113" s="52" t="str">
        <f>IF(Calculation!E113=Calculation!$A$145,Calculation!D113,"")</f>
        <v/>
      </c>
      <c r="D113" s="52" t="str">
        <f>IF(Calculation!E113=Calculation!$A$145,Calculation!$A$105,"")</f>
        <v/>
      </c>
      <c r="E113" s="52" t="str">
        <f>IF(Calculation!E113=Calculation!$A$145,Calculation!C113,"")</f>
        <v/>
      </c>
      <c r="F113" s="52" t="str">
        <f>IF(Calculation!E113=Calculation!$A$145,Calculation!F113,"")</f>
        <v/>
      </c>
      <c r="G113" s="54" t="str">
        <f>IF(Calculation!E113=Calculation!$A$145,Calculation!G113,"")</f>
        <v/>
      </c>
      <c r="H113" s="54" t="str">
        <f>IF(Calculation!E113=Calculation!$A$145,Calculation!H113,"")</f>
        <v/>
      </c>
      <c r="I113" s="55"/>
    </row>
    <row r="114">
      <c r="A114" s="52" t="str">
        <f>IF(Calculation!E114=Calculation!$A$145,Calculation!B114,"")</f>
        <v/>
      </c>
      <c r="B114" s="53" t="str">
        <f>IF(Calculation!E114=Calculation!$A$145,Calculation!I114,"")</f>
        <v/>
      </c>
      <c r="C114" s="52" t="str">
        <f>IF(Calculation!E114=Calculation!$A$145,Calculation!D114,"")</f>
        <v/>
      </c>
      <c r="D114" s="52" t="str">
        <f>IF(Calculation!E114=Calculation!$A$145,Calculation!$A$105,"")</f>
        <v/>
      </c>
      <c r="E114" s="52" t="str">
        <f>IF(Calculation!E114=Calculation!$A$145,Calculation!C114,"")</f>
        <v/>
      </c>
      <c r="F114" s="52" t="str">
        <f>IF(Calculation!E114=Calculation!$A$145,Calculation!F114,"")</f>
        <v/>
      </c>
      <c r="G114" s="54" t="str">
        <f>IF(Calculation!E114=Calculation!$A$145,Calculation!G114,"")</f>
        <v/>
      </c>
      <c r="H114" s="54" t="str">
        <f>IF(Calculation!E114=Calculation!$A$145,Calculation!H114,"")</f>
        <v/>
      </c>
      <c r="I114" s="55"/>
    </row>
    <row r="115">
      <c r="A115" s="52" t="str">
        <f>IF(Calculation!E115=Calculation!$A$145,Calculation!B115,"")</f>
        <v/>
      </c>
      <c r="B115" s="53" t="str">
        <f>IF(Calculation!E115=Calculation!$A$145,Calculation!I115,"")</f>
        <v/>
      </c>
      <c r="C115" s="52" t="str">
        <f>IF(Calculation!E115=Calculation!$A$145,Calculation!D115,"")</f>
        <v/>
      </c>
      <c r="D115" s="52" t="str">
        <f>IF(Calculation!E115=Calculation!$A$145,Calculation!$A$105,"")</f>
        <v/>
      </c>
      <c r="E115" s="52" t="str">
        <f>IF(Calculation!E115=Calculation!$A$145,Calculation!C115,"")</f>
        <v/>
      </c>
      <c r="F115" s="52" t="str">
        <f>IF(Calculation!E115=Calculation!$A$145,Calculation!F115,"")</f>
        <v/>
      </c>
      <c r="G115" s="54" t="str">
        <f>IF(Calculation!E115=Calculation!$A$145,Calculation!G115,"")</f>
        <v/>
      </c>
      <c r="H115" s="54" t="str">
        <f>IF(Calculation!E115=Calculation!$A$145,Calculation!H115,"")</f>
        <v/>
      </c>
      <c r="I115" s="55"/>
    </row>
    <row r="116">
      <c r="A116" s="52" t="str">
        <f>IF(Calculation!E116=Calculation!$A$145,Calculation!B116,"")</f>
        <v/>
      </c>
      <c r="B116" s="53" t="str">
        <f>IF(Calculation!E116=Calculation!$A$145,Calculation!I116,"")</f>
        <v/>
      </c>
      <c r="C116" s="52" t="str">
        <f>IF(Calculation!E116=Calculation!$A$145,Calculation!D116,"")</f>
        <v/>
      </c>
      <c r="D116" s="52" t="str">
        <f>IF(Calculation!E116=Calculation!$A$145,Calculation!$A$105,"")</f>
        <v/>
      </c>
      <c r="E116" s="52" t="str">
        <f>IF(Calculation!E116=Calculation!$A$145,Calculation!C116,"")</f>
        <v/>
      </c>
      <c r="F116" s="52" t="str">
        <f>IF(Calculation!E116=Calculation!$A$145,Calculation!F116,"")</f>
        <v/>
      </c>
      <c r="G116" s="54" t="str">
        <f>IF(Calculation!E116=Calculation!$A$145,Calculation!G116,"")</f>
        <v/>
      </c>
      <c r="H116" s="54" t="str">
        <f>IF(Calculation!E116=Calculation!$A$145,Calculation!H116,"")</f>
        <v/>
      </c>
      <c r="I116" s="55"/>
    </row>
    <row r="117">
      <c r="A117" s="52" t="str">
        <f>IF(Calculation!E117=Calculation!$A$145,Calculation!B117,"")</f>
        <v/>
      </c>
      <c r="B117" s="53" t="str">
        <f>IF(Calculation!E117=Calculation!$A$145,Calculation!I117,"")</f>
        <v/>
      </c>
      <c r="C117" s="52" t="str">
        <f>IF(Calculation!E117=Calculation!$A$145,Calculation!D117,"")</f>
        <v/>
      </c>
      <c r="D117" s="52" t="str">
        <f>IF(Calculation!E117=Calculation!$A$145,Calculation!$A$105,"")</f>
        <v/>
      </c>
      <c r="E117" s="52" t="str">
        <f>IF(Calculation!E117=Calculation!$A$145,Calculation!C117,"")</f>
        <v/>
      </c>
      <c r="F117" s="52" t="str">
        <f>IF(Calculation!E117=Calculation!$A$145,Calculation!F117,"")</f>
        <v/>
      </c>
      <c r="G117" s="54" t="str">
        <f>IF(Calculation!E117=Calculation!$A$145,Calculation!G117,"")</f>
        <v/>
      </c>
      <c r="H117" s="54" t="str">
        <f>IF(Calculation!E117=Calculation!$A$145,Calculation!H117,"")</f>
        <v/>
      </c>
      <c r="I117" s="55"/>
    </row>
    <row r="118">
      <c r="A118" s="52" t="str">
        <f>IF(Calculation!E118=Calculation!$A$145,Calculation!B118,"")</f>
        <v/>
      </c>
      <c r="B118" s="53" t="str">
        <f>IF(Calculation!E118=Calculation!$A$145,Calculation!I118,"")</f>
        <v/>
      </c>
      <c r="C118" s="52" t="str">
        <f>IF(Calculation!E118=Calculation!$A$145,Calculation!D118,"")</f>
        <v/>
      </c>
      <c r="D118" s="52" t="str">
        <f>IF(Calculation!E118=Calculation!$A$145,Calculation!$A$117,"")</f>
        <v/>
      </c>
      <c r="E118" s="52" t="str">
        <f>IF(Calculation!E118=Calculation!$A$145,Calculation!C118,"")</f>
        <v/>
      </c>
      <c r="F118" s="52" t="str">
        <f>IF(Calculation!E118=Calculation!$A$145,Calculation!F118,"")</f>
        <v/>
      </c>
      <c r="G118" s="54" t="str">
        <f>IF(Calculation!E118=Calculation!$A$145,Calculation!G118,"")</f>
        <v/>
      </c>
      <c r="H118" s="54" t="str">
        <f>IF(Calculation!E118=Calculation!$A$145,Calculation!H118,"")</f>
        <v/>
      </c>
      <c r="I118" s="55"/>
    </row>
    <row r="119">
      <c r="A119" s="52" t="str">
        <f>IF(Calculation!E119=Calculation!$A$145,Calculation!B119,"")</f>
        <v/>
      </c>
      <c r="B119" s="53" t="str">
        <f>IF(Calculation!E119=Calculation!$A$145,Calculation!I119,"")</f>
        <v/>
      </c>
      <c r="C119" s="52" t="str">
        <f>IF(Calculation!E119=Calculation!$A$145,Calculation!D119,"")</f>
        <v/>
      </c>
      <c r="D119" s="52" t="str">
        <f>IF(Calculation!E119=Calculation!$A$145,Calculation!$A$117,"")</f>
        <v/>
      </c>
      <c r="E119" s="52" t="str">
        <f>IF(Calculation!E119=Calculation!$A$145,Calculation!C119,"")</f>
        <v/>
      </c>
      <c r="F119" s="52" t="str">
        <f>IF(Calculation!E119=Calculation!$A$145,Calculation!F119,"")</f>
        <v/>
      </c>
      <c r="G119" s="54" t="str">
        <f>IF(Calculation!E119=Calculation!$A$145,Calculation!G119,"")</f>
        <v/>
      </c>
      <c r="H119" s="54" t="str">
        <f>IF(Calculation!E119=Calculation!$A$145,Calculation!H119,"")</f>
        <v/>
      </c>
      <c r="I119" s="55"/>
    </row>
    <row r="120">
      <c r="A120" s="52" t="str">
        <f>IF(Calculation!E120=Calculation!$A$145,Calculation!B120,"")</f>
        <v/>
      </c>
      <c r="B120" s="53" t="str">
        <f>IF(Calculation!E120=Calculation!$A$145,Calculation!I120,"")</f>
        <v/>
      </c>
      <c r="C120" s="52" t="str">
        <f>IF(Calculation!E120=Calculation!$A$145,Calculation!D120,"")</f>
        <v/>
      </c>
      <c r="D120" s="52" t="str">
        <f>IF(Calculation!E120=Calculation!$A$145,Calculation!$A$117,"")</f>
        <v/>
      </c>
      <c r="E120" s="52" t="str">
        <f>IF(Calculation!E120=Calculation!$A$145,Calculation!C120,"")</f>
        <v/>
      </c>
      <c r="F120" s="52" t="str">
        <f>IF(Calculation!E120=Calculation!$A$145,Calculation!F120,"")</f>
        <v/>
      </c>
      <c r="G120" s="54" t="str">
        <f>IF(Calculation!E120=Calculation!$A$145,Calculation!G120,"")</f>
        <v/>
      </c>
      <c r="H120" s="54" t="str">
        <f>IF(Calculation!E120=Calculation!$A$145,Calculation!H120,"")</f>
        <v/>
      </c>
      <c r="I120" s="55"/>
    </row>
    <row r="121">
      <c r="A121" s="52" t="str">
        <f>IF(Calculation!E121=Calculation!$A$145,Calculation!B121,"")</f>
        <v/>
      </c>
      <c r="B121" s="53" t="str">
        <f>IF(Calculation!E121=Calculation!$A$145,Calculation!I121,"")</f>
        <v/>
      </c>
      <c r="C121" s="52" t="str">
        <f>IF(Calculation!E121=Calculation!$A$145,Calculation!D121,"")</f>
        <v/>
      </c>
      <c r="D121" s="52" t="str">
        <f>IF(Calculation!E121=Calculation!$A$145,Calculation!$A$117,"")</f>
        <v/>
      </c>
      <c r="E121" s="52" t="str">
        <f>IF(Calculation!E121=Calculation!$A$145,Calculation!C121,"")</f>
        <v/>
      </c>
      <c r="F121" s="52" t="str">
        <f>IF(Calculation!E121=Calculation!$A$145,Calculation!F121,"")</f>
        <v/>
      </c>
      <c r="G121" s="54" t="str">
        <f>IF(Calculation!E121=Calculation!$A$145,Calculation!G121,"")</f>
        <v/>
      </c>
      <c r="H121" s="54" t="str">
        <f>IF(Calculation!E121=Calculation!$A$145,Calculation!H121,"")</f>
        <v/>
      </c>
      <c r="I121" s="55"/>
    </row>
    <row r="122">
      <c r="A122" s="52" t="str">
        <f>IF(Calculation!E122=Calculation!$A$145,Calculation!B122,"")</f>
        <v/>
      </c>
      <c r="B122" s="53" t="str">
        <f>IF(Calculation!E122=Calculation!$A$145,Calculation!I122,"")</f>
        <v/>
      </c>
      <c r="C122" s="52" t="str">
        <f>IF(Calculation!E122=Calculation!$A$145,Calculation!D122,"")</f>
        <v/>
      </c>
      <c r="D122" s="52" t="str">
        <f>IF(Calculation!E122=Calculation!$A$145,Calculation!$A$117,"")</f>
        <v/>
      </c>
      <c r="E122" s="52" t="str">
        <f>IF(Calculation!E122=Calculation!$A$145,Calculation!C122,"")</f>
        <v/>
      </c>
      <c r="F122" s="52" t="str">
        <f>IF(Calculation!E122=Calculation!$A$145,Calculation!F122,"")</f>
        <v/>
      </c>
      <c r="G122" s="54" t="str">
        <f>IF(Calculation!E122=Calculation!$A$145,Calculation!G122,"")</f>
        <v/>
      </c>
      <c r="H122" s="54" t="str">
        <f>IF(Calculation!E122=Calculation!$A$145,Calculation!H122,"")</f>
        <v/>
      </c>
      <c r="I122" s="55"/>
    </row>
    <row r="123">
      <c r="A123" s="52" t="str">
        <f>IF(Calculation!E123=Calculation!$A$145,Calculation!B123,"")</f>
        <v/>
      </c>
      <c r="B123" s="53" t="str">
        <f>IF(Calculation!E123=Calculation!$A$145,Calculation!I123,"")</f>
        <v/>
      </c>
      <c r="C123" s="52" t="str">
        <f>IF(Calculation!E123=Calculation!$A$145,Calculation!D123,"")</f>
        <v/>
      </c>
      <c r="D123" s="52" t="str">
        <f>IF(Calculation!E123=Calculation!$A$145,Calculation!$A$117,"")</f>
        <v/>
      </c>
      <c r="E123" s="52" t="str">
        <f>IF(Calculation!E123=Calculation!$A$145,Calculation!C123,"")</f>
        <v/>
      </c>
      <c r="F123" s="52" t="str">
        <f>IF(Calculation!E123=Calculation!$A$145,Calculation!F123,"")</f>
        <v/>
      </c>
      <c r="G123" s="54" t="str">
        <f>IF(Calculation!E123=Calculation!$A$145,Calculation!G123,"")</f>
        <v/>
      </c>
      <c r="H123" s="54" t="str">
        <f>IF(Calculation!E123=Calculation!$A$145,Calculation!H123,"")</f>
        <v/>
      </c>
      <c r="I123" s="55"/>
    </row>
    <row r="124">
      <c r="A124" s="52" t="str">
        <f>IF(Calculation!E124=Calculation!$A$145,Calculation!B124,"")</f>
        <v/>
      </c>
      <c r="B124" s="53" t="str">
        <f>IF(Calculation!E124=Calculation!$A$145,Calculation!I124,"")</f>
        <v/>
      </c>
      <c r="C124" s="52" t="str">
        <f>IF(Calculation!E124=Calculation!$A$145,Calculation!D124,"")</f>
        <v/>
      </c>
      <c r="D124" s="52" t="str">
        <f>IF(Calculation!E124=Calculation!$A$145,Calculation!$A$117,"")</f>
        <v/>
      </c>
      <c r="E124" s="52" t="str">
        <f>IF(Calculation!E124=Calculation!$A$145,Calculation!C124,"")</f>
        <v/>
      </c>
      <c r="F124" s="52" t="str">
        <f>IF(Calculation!E124=Calculation!$A$145,Calculation!F124,"")</f>
        <v/>
      </c>
      <c r="G124" s="54" t="str">
        <f>IF(Calculation!E124=Calculation!$A$145,Calculation!G124,"")</f>
        <v/>
      </c>
      <c r="H124" s="54" t="str">
        <f>IF(Calculation!E124=Calculation!$A$145,Calculation!H124,"")</f>
        <v/>
      </c>
      <c r="I124" s="55"/>
    </row>
    <row r="125">
      <c r="A125" s="52" t="str">
        <f>IF(Calculation!E125=Calculation!$A$145,Calculation!B125,"")</f>
        <v/>
      </c>
      <c r="B125" s="53" t="str">
        <f>IF(Calculation!E125=Calculation!$A$145,Calculation!I125,"")</f>
        <v/>
      </c>
      <c r="C125" s="52" t="str">
        <f>IF(Calculation!E125=Calculation!$A$145,Calculation!D125,"")</f>
        <v/>
      </c>
      <c r="D125" s="52" t="str">
        <f>IF(Calculation!E125=Calculation!$A$145,Calculation!$A$117,"")</f>
        <v/>
      </c>
      <c r="E125" s="52" t="str">
        <f>IF(Calculation!E125=Calculation!$A$145,Calculation!C125,"")</f>
        <v/>
      </c>
      <c r="F125" s="52" t="str">
        <f>IF(Calculation!E125=Calculation!$A$145,Calculation!F125,"")</f>
        <v/>
      </c>
      <c r="G125" s="54" t="str">
        <f>IF(Calculation!E125=Calculation!$A$145,Calculation!G125,"")</f>
        <v/>
      </c>
      <c r="H125" s="54" t="str">
        <f>IF(Calculation!E125=Calculation!$A$145,Calculation!H125,"")</f>
        <v/>
      </c>
      <c r="I125" s="55"/>
    </row>
  </sheetData>
  <mergeCells count="37">
    <mergeCell ref="A1:I1"/>
    <mergeCell ref="M3:P3"/>
    <mergeCell ref="M4:P4"/>
    <mergeCell ref="M5:P5"/>
    <mergeCell ref="M6:O6"/>
    <mergeCell ref="M8:Q8"/>
    <mergeCell ref="P9:Q9"/>
    <mergeCell ref="M9:O9"/>
    <mergeCell ref="M10:O10"/>
    <mergeCell ref="P10:Q10"/>
    <mergeCell ref="R10:S10"/>
    <mergeCell ref="M11:O11"/>
    <mergeCell ref="P11:Q11"/>
    <mergeCell ref="R11:S11"/>
    <mergeCell ref="P14:Q14"/>
    <mergeCell ref="R14:S14"/>
    <mergeCell ref="M12:O12"/>
    <mergeCell ref="P12:Q12"/>
    <mergeCell ref="R12:S12"/>
    <mergeCell ref="M13:O13"/>
    <mergeCell ref="P13:Q13"/>
    <mergeCell ref="R13:S13"/>
    <mergeCell ref="M14:O14"/>
    <mergeCell ref="M19:P19"/>
    <mergeCell ref="M20:P20"/>
    <mergeCell ref="M21:P21"/>
    <mergeCell ref="M22:P22"/>
    <mergeCell ref="O24:Q24"/>
    <mergeCell ref="O25:Q25"/>
    <mergeCell ref="R26:S26"/>
    <mergeCell ref="M15:O15"/>
    <mergeCell ref="P15:Q15"/>
    <mergeCell ref="R15:S15"/>
    <mergeCell ref="M16:O16"/>
    <mergeCell ref="P16:Q16"/>
    <mergeCell ref="R16:S16"/>
    <mergeCell ref="M18:P18"/>
  </mergeCells>
  <dataValidations>
    <dataValidation type="custom" allowBlank="1" showDropDown="1" sqref="P9 R15">
      <formula1>OR(NOT(ISERROR(DATEVALUE(P9))), AND(ISNUMBER(P9), LEFT(CELL("format", P9))="D"))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9.13"/>
    <col customWidth="1" min="3" max="3" width="18.63"/>
    <col customWidth="1" min="4" max="4" width="17.63"/>
    <col customWidth="1" min="5" max="5" width="18.75"/>
    <col customWidth="1" min="6" max="6" width="19.25"/>
    <col customWidth="1" min="7" max="8" width="17.38"/>
    <col customWidth="1" min="9" max="9" width="15.13"/>
  </cols>
  <sheetData>
    <row r="1" ht="42.0" customHeight="1">
      <c r="A1" s="49" t="s">
        <v>80</v>
      </c>
      <c r="I1" s="50"/>
      <c r="L1" s="59"/>
      <c r="M1" s="59"/>
      <c r="N1" s="59"/>
      <c r="O1" s="60"/>
      <c r="P1" s="59"/>
      <c r="Q1" s="59"/>
      <c r="R1" s="59"/>
      <c r="S1" s="59"/>
      <c r="T1" s="61"/>
    </row>
    <row r="2" ht="29.25" customHeight="1">
      <c r="A2" s="51" t="s">
        <v>45</v>
      </c>
      <c r="B2" s="51" t="s">
        <v>46</v>
      </c>
      <c r="C2" s="51" t="s">
        <v>47</v>
      </c>
      <c r="D2" s="51" t="s">
        <v>48</v>
      </c>
      <c r="E2" s="51" t="s">
        <v>49</v>
      </c>
      <c r="F2" s="51" t="s">
        <v>50</v>
      </c>
      <c r="G2" s="51" t="s">
        <v>51</v>
      </c>
      <c r="H2" s="51" t="s">
        <v>52</v>
      </c>
      <c r="L2" s="62"/>
      <c r="M2" s="62"/>
      <c r="N2" s="62"/>
      <c r="O2" s="63"/>
      <c r="P2" s="62"/>
      <c r="Q2" s="62"/>
      <c r="R2" s="62"/>
      <c r="S2" s="62"/>
      <c r="T2" s="64"/>
    </row>
    <row r="3" ht="18.75" customHeight="1">
      <c r="A3" s="52" t="str">
        <f>IF(Calculation!E3=Calculation!$A$146,Calculation!B3,"")</f>
        <v/>
      </c>
      <c r="B3" s="52" t="str">
        <f>IF(Calculation!E3=Calculation!$A$146,Calculation!I3,"")</f>
        <v/>
      </c>
      <c r="C3" s="52" t="str">
        <f>IF(Calculation!E3=Calculation!$A$146,Calculation!D3,"")</f>
        <v/>
      </c>
      <c r="D3" s="52" t="str">
        <f>IF(Calculation!E3=Calculation!$A$146,Calculation!C3,"")</f>
        <v/>
      </c>
      <c r="E3" s="52" t="str">
        <f>IF(Calculation!E3=Calculation!$A$146,Calculation!F3,"")</f>
        <v/>
      </c>
      <c r="F3" s="54" t="str">
        <f>IF(Calculation!E3=Calculation!$A$146,Calculation!G3,"")</f>
        <v/>
      </c>
      <c r="G3" s="54" t="str">
        <f>IF(Calculation!E3=Calculation!$A$146,Calculation!H3,"")</f>
        <v/>
      </c>
      <c r="H3" s="110">
        <f>SUMIF(Calculation!E3:E125,Calculation!$A$146,Calculation!H3:H125)</f>
        <v>70</v>
      </c>
      <c r="L3" s="65" t="s">
        <v>53</v>
      </c>
      <c r="P3" s="62"/>
      <c r="Q3" s="62"/>
      <c r="R3" s="62"/>
      <c r="S3" s="62"/>
      <c r="T3" s="64"/>
    </row>
    <row r="4" ht="20.25" customHeight="1">
      <c r="A4" s="52" t="str">
        <f>IF(Calculation!E4=Calculation!$A$146,Calculation!B4,"")</f>
        <v/>
      </c>
      <c r="B4" s="52" t="str">
        <f>IF(Calculation!E4=Calculation!$A$146,Calculation!I4,"")</f>
        <v/>
      </c>
      <c r="C4" s="52" t="str">
        <f>IF(Calculation!E4=Calculation!$A$146,Calculation!D4,"")</f>
        <v/>
      </c>
      <c r="D4" s="52" t="str">
        <f>IF(Calculation!E4=Calculation!$A$146,Calculation!C4,"")</f>
        <v/>
      </c>
      <c r="E4" s="52" t="str">
        <f>IF(Calculation!E4=Calculation!$A$146,Calculation!F4,"")</f>
        <v/>
      </c>
      <c r="F4" s="54" t="str">
        <f>IF(Calculation!E4=Calculation!$A$146,Calculation!G4,"")</f>
        <v/>
      </c>
      <c r="G4" s="54" t="str">
        <f>IF(Calculation!E4=Calculation!$A$146,Calculation!H4,"")</f>
        <v/>
      </c>
      <c r="H4" s="55"/>
      <c r="L4" s="106" t="s">
        <v>75</v>
      </c>
      <c r="P4" s="62"/>
      <c r="Q4" s="62"/>
      <c r="R4" s="62"/>
      <c r="S4" s="62"/>
      <c r="T4" s="64"/>
    </row>
    <row r="5">
      <c r="A5" s="52" t="str">
        <f>IF(Calculation!E5=Calculation!$A$146,Calculation!B5,"")</f>
        <v/>
      </c>
      <c r="B5" s="52" t="str">
        <f>IF(Calculation!E5=Calculation!$A$146,Calculation!I5,"")</f>
        <v/>
      </c>
      <c r="C5" s="52" t="str">
        <f>IF(Calculation!E5=Calculation!$A$146,Calculation!D5,"")</f>
        <v/>
      </c>
      <c r="D5" s="52" t="str">
        <f>IF(Calculation!E5=Calculation!$A$146,Calculation!C5,"")</f>
        <v/>
      </c>
      <c r="E5" s="52" t="str">
        <f>IF(Calculation!E5=Calculation!$A$146,Calculation!F5,"")</f>
        <v/>
      </c>
      <c r="F5" s="54" t="str">
        <f>IF(Calculation!E5=Calculation!$A$146,Calculation!G5,"")</f>
        <v/>
      </c>
      <c r="G5" s="54" t="str">
        <f>IF(Calculation!E5=Calculation!$A$146,Calculation!H5,"")</f>
        <v/>
      </c>
      <c r="H5" s="110"/>
      <c r="L5" s="107" t="s">
        <v>76</v>
      </c>
      <c r="P5" s="62"/>
      <c r="Q5" s="62"/>
      <c r="R5" s="62"/>
      <c r="S5" s="62"/>
      <c r="T5" s="64"/>
    </row>
    <row r="6">
      <c r="A6" s="52" t="str">
        <f>IF(Calculation!E6=Calculation!$A$146,Calculation!B6,"")</f>
        <v/>
      </c>
      <c r="B6" s="52" t="str">
        <f>IF(Calculation!E6=Calculation!$A$146,Calculation!I6,"")</f>
        <v/>
      </c>
      <c r="C6" s="52" t="str">
        <f>IF(Calculation!E6=Calculation!$A$146,Calculation!D6,"")</f>
        <v/>
      </c>
      <c r="D6" s="52" t="str">
        <f>IF(Calculation!E6=Calculation!$A$146,Calculation!C6,"")</f>
        <v/>
      </c>
      <c r="E6" s="52" t="str">
        <f>IF(Calculation!E6=Calculation!$A$146,Calculation!F6,"")</f>
        <v/>
      </c>
      <c r="F6" s="54" t="str">
        <f>IF(Calculation!E6=Calculation!$A$146,Calculation!G6,"")</f>
        <v/>
      </c>
      <c r="G6" s="54" t="str">
        <f>IF(Calculation!E6=Calculation!$A$146,Calculation!H6,"")</f>
        <v/>
      </c>
      <c r="H6" s="55"/>
      <c r="L6" s="78" t="s">
        <v>77</v>
      </c>
      <c r="O6" s="72"/>
      <c r="P6" s="69"/>
      <c r="Q6" s="69"/>
      <c r="R6" s="69"/>
      <c r="S6" s="69"/>
      <c r="T6" s="70"/>
    </row>
    <row r="7">
      <c r="A7" s="52" t="str">
        <f>IF(Calculation!E7=Calculation!$A$146,Calculation!B7,"")</f>
        <v/>
      </c>
      <c r="B7" s="52" t="str">
        <f>IF(Calculation!E7=Calculation!$A$146,Calculation!I7,"")</f>
        <v/>
      </c>
      <c r="C7" s="52" t="str">
        <f>IF(Calculation!E7=Calculation!$A$146,Calculation!D7,"")</f>
        <v/>
      </c>
      <c r="D7" s="52" t="str">
        <f>IF(Calculation!E7=Calculation!$A$146,Calculation!C7,"")</f>
        <v/>
      </c>
      <c r="E7" s="52" t="str">
        <f>IF(Calculation!E7=Calculation!$A$146,Calculation!F7,"")</f>
        <v/>
      </c>
      <c r="F7" s="54" t="str">
        <f>IF(Calculation!E7=Calculation!$A$146,Calculation!G7,"")</f>
        <v/>
      </c>
      <c r="G7" s="54" t="str">
        <f>IF(Calculation!E7=Calculation!$A$146,Calculation!H7,"")</f>
        <v/>
      </c>
      <c r="H7" s="55"/>
      <c r="L7" s="62"/>
      <c r="M7" s="62"/>
      <c r="N7" s="62"/>
      <c r="O7" s="62"/>
      <c r="P7" s="62"/>
      <c r="Q7" s="62"/>
      <c r="R7" s="62"/>
      <c r="S7" s="62"/>
      <c r="T7" s="64"/>
    </row>
    <row r="8">
      <c r="A8" s="57">
        <f>IF(Calculation!E8=Calculation!$A$146,Calculation!B8,"")</f>
        <v>45457</v>
      </c>
      <c r="B8" s="53">
        <f>IF(Calculation!E8=Calculation!$A$146,Calculation!I8,"")</f>
        <v>45447</v>
      </c>
      <c r="C8" s="52" t="str">
        <f>IF(Calculation!E8=Calculation!$A$146,Calculation!D8,"")</f>
        <v>Anu Shigha</v>
      </c>
      <c r="D8" s="52" t="str">
        <f>IF(Calculation!E8=Calculation!$A$146,Calculation!C8,"")</f>
        <v>Short video design</v>
      </c>
      <c r="E8" s="52">
        <f>IF(Calculation!E8=Calculation!$A$146,Calculation!F8,"")</f>
        <v>2</v>
      </c>
      <c r="F8" s="54">
        <f>IF(Calculation!E8=Calculation!$A$146,Calculation!G8,"")</f>
        <v>35</v>
      </c>
      <c r="G8" s="54">
        <f>IF(Calculation!E8=Calculation!$A$146,Calculation!H8,"")</f>
        <v>70</v>
      </c>
      <c r="H8" s="55"/>
      <c r="L8" s="108" t="s">
        <v>78</v>
      </c>
      <c r="Q8" s="62"/>
      <c r="R8" s="62"/>
      <c r="S8" s="69"/>
      <c r="T8" s="70"/>
    </row>
    <row r="9">
      <c r="A9" s="52" t="str">
        <f>IF(Calculation!E9=Calculation!$A$146,Calculation!B9,"")</f>
        <v/>
      </c>
      <c r="B9" s="52" t="str">
        <f>IF(Calculation!E9=Calculation!$A$146,Calculation!I9,"")</f>
        <v/>
      </c>
      <c r="C9" s="52" t="str">
        <f>IF(Calculation!E9=Calculation!$A$146,Calculation!D9,"")</f>
        <v/>
      </c>
      <c r="D9" s="52" t="str">
        <f>IF(Calculation!E9=Calculation!$A$146,Calculation!C9,"")</f>
        <v/>
      </c>
      <c r="E9" s="52" t="str">
        <f>IF(Calculation!E9=Calculation!$A$146,Calculation!F9,"")</f>
        <v/>
      </c>
      <c r="F9" s="54" t="str">
        <f>IF(Calculation!E9=Calculation!$A$146,Calculation!G9,"")</f>
        <v/>
      </c>
      <c r="G9" s="54" t="str">
        <f>IF(Calculation!E9=Calculation!$A$146,Calculation!H9,"")</f>
        <v/>
      </c>
      <c r="H9" s="55"/>
      <c r="L9" s="74" t="s">
        <v>58</v>
      </c>
      <c r="O9" s="75">
        <v>45462.0</v>
      </c>
      <c r="Q9" s="62"/>
      <c r="R9" s="62"/>
      <c r="S9" s="69"/>
      <c r="T9" s="70"/>
    </row>
    <row r="10">
      <c r="A10" s="52" t="str">
        <f>IF(Calculation!E10=Calculation!$A$146,Calculation!B10,"")</f>
        <v/>
      </c>
      <c r="B10" s="52" t="str">
        <f>IF(Calculation!E10=Calculation!$A$146,Calculation!I10,"")</f>
        <v/>
      </c>
      <c r="C10" s="52" t="str">
        <f>IF(Calculation!E10=Calculation!$A$146,Calculation!D10,"")</f>
        <v/>
      </c>
      <c r="D10" s="52" t="str">
        <f>IF(Calculation!E10=Calculation!$A$146,Calculation!C10,"")</f>
        <v/>
      </c>
      <c r="E10" s="52" t="str">
        <f>IF(Calculation!E10=Calculation!$A$146,Calculation!F10,"")</f>
        <v/>
      </c>
      <c r="F10" s="54" t="str">
        <f>IF(Calculation!E10=Calculation!$A$146,Calculation!G10,"")</f>
        <v/>
      </c>
      <c r="G10" s="54" t="str">
        <f>IF(Calculation!E10=Calculation!$A$146,Calculation!H10,"")</f>
        <v/>
      </c>
      <c r="H10" s="55"/>
      <c r="L10" s="76"/>
      <c r="O10" s="62"/>
      <c r="Q10" s="62"/>
      <c r="S10" s="69"/>
      <c r="T10" s="70"/>
    </row>
    <row r="11">
      <c r="A11" s="52" t="str">
        <f>IF(Calculation!E11=Calculation!$A$146,Calculation!B11,"")</f>
        <v/>
      </c>
      <c r="B11" s="52" t="str">
        <f>IF(Calculation!E11=Calculation!$A$146,Calculation!I11,"")</f>
        <v/>
      </c>
      <c r="C11" s="52" t="str">
        <f>IF(Calculation!E11=Calculation!$A$146,Calculation!D11,"")</f>
        <v/>
      </c>
      <c r="D11" s="52" t="str">
        <f>IF(Calculation!E11=Calculation!$A$146,Calculation!C11,"")</f>
        <v/>
      </c>
      <c r="E11" s="52" t="str">
        <f>IF(Calculation!E11=Calculation!$A$146,Calculation!F11,"")</f>
        <v/>
      </c>
      <c r="F11" s="54" t="str">
        <f>IF(Calculation!E11=Calculation!$A$146,Calculation!G11,"")</f>
        <v/>
      </c>
      <c r="G11" s="54" t="str">
        <f>IF(Calculation!E11=Calculation!$A$146,Calculation!H11,"")</f>
        <v/>
      </c>
      <c r="H11" s="55"/>
      <c r="L11" s="77" t="s">
        <v>59</v>
      </c>
      <c r="O11" s="77" t="s">
        <v>60</v>
      </c>
      <c r="Q11" s="77" t="s">
        <v>61</v>
      </c>
      <c r="S11" s="69"/>
      <c r="T11" s="70"/>
    </row>
    <row r="12">
      <c r="A12" s="52" t="str">
        <f>IF(Calculation!E12=Calculation!$A$146,Calculation!B12,"")</f>
        <v/>
      </c>
      <c r="B12" s="52" t="str">
        <f>IF(Calculation!E12=Calculation!$A$146,Calculation!I12,"")</f>
        <v/>
      </c>
      <c r="C12" s="52" t="str">
        <f>IF(Calculation!E12=Calculation!$A$146,Calculation!D12,"")</f>
        <v/>
      </c>
      <c r="D12" s="52" t="str">
        <f>IF(Calculation!E12=Calculation!$A$146,Calculation!C12,"")</f>
        <v/>
      </c>
      <c r="E12" s="52" t="str">
        <f>IF(Calculation!E12=Calculation!$A$146,Calculation!F12,"")</f>
        <v/>
      </c>
      <c r="F12" s="54" t="str">
        <f>IF(Calculation!E12=Calculation!$A$146,Calculation!G12,"")</f>
        <v/>
      </c>
      <c r="G12" s="54" t="str">
        <f>IF(Calculation!E12=Calculation!$A$146,Calculation!H12,"")</f>
        <v/>
      </c>
      <c r="H12" s="55"/>
      <c r="L12" s="78" t="str">
        <f>Calculation!A146</f>
        <v>Anuba</v>
      </c>
      <c r="O12" s="78" t="str">
        <f>Calculation!A146</f>
        <v>Anuba</v>
      </c>
      <c r="Q12" s="79">
        <v>123456.0</v>
      </c>
      <c r="S12" s="69"/>
      <c r="T12" s="70"/>
    </row>
    <row r="13">
      <c r="A13" s="52" t="str">
        <f>IF(Calculation!E13=Calculation!$A$146,Calculation!B13,"")</f>
        <v/>
      </c>
      <c r="B13" s="52" t="str">
        <f>IF(Calculation!E13=Calculation!$A$146,Calculation!I13,"")</f>
        <v/>
      </c>
      <c r="C13" s="52" t="str">
        <f>IF(Calculation!E13=Calculation!$A$146,Calculation!D13,"")</f>
        <v/>
      </c>
      <c r="D13" s="52" t="str">
        <f>IF(Calculation!E13=Calculation!$A$146,Calculation!C13,"")</f>
        <v/>
      </c>
      <c r="E13" s="52" t="str">
        <f>IF(Calculation!E13=Calculation!$A$146,Calculation!F13,"")</f>
        <v/>
      </c>
      <c r="F13" s="54" t="str">
        <f>IF(Calculation!E13=Calculation!$A$146,Calculation!G13,"")</f>
        <v/>
      </c>
      <c r="G13" s="54" t="str">
        <f>IF(Calculation!E13=Calculation!$A$146,Calculation!H13,"")</f>
        <v/>
      </c>
      <c r="H13" s="55"/>
      <c r="L13" s="78" t="s">
        <v>62</v>
      </c>
      <c r="O13" s="72"/>
      <c r="Q13" s="62"/>
      <c r="S13" s="69"/>
      <c r="T13" s="70"/>
    </row>
    <row r="14">
      <c r="A14" s="52" t="str">
        <f>IF(Calculation!E14=Calculation!$A$146,Calculation!B14,"")</f>
        <v/>
      </c>
      <c r="B14" s="52" t="str">
        <f>IF(Calculation!E14=Calculation!$A$146,Calculation!I14,"")</f>
        <v/>
      </c>
      <c r="C14" s="52" t="str">
        <f>IF(Calculation!E14=Calculation!$A$146,Calculation!D14,"")</f>
        <v/>
      </c>
      <c r="D14" s="52" t="str">
        <f>IF(Calculation!E14=Calculation!$A$146,Calculation!C14,"")</f>
        <v/>
      </c>
      <c r="E14" s="52" t="str">
        <f>IF(Calculation!E14=Calculation!$A$146,Calculation!F14,"")</f>
        <v/>
      </c>
      <c r="F14" s="54" t="str">
        <f>IF(Calculation!E14=Calculation!$A$146,Calculation!G14,"")</f>
        <v/>
      </c>
      <c r="G14" s="54" t="str">
        <f>IF(Calculation!E14=Calculation!$A$146,Calculation!H14,"")</f>
        <v/>
      </c>
      <c r="H14" s="55"/>
      <c r="L14" s="78" t="s">
        <v>63</v>
      </c>
      <c r="O14" s="80" t="s">
        <v>64</v>
      </c>
      <c r="Q14" s="80" t="s">
        <v>65</v>
      </c>
      <c r="S14" s="69"/>
      <c r="T14" s="70"/>
    </row>
    <row r="15">
      <c r="A15" s="52" t="str">
        <f>IF(Calculation!E15=Calculation!$A$146,Calculation!B15,"")</f>
        <v/>
      </c>
      <c r="B15" s="52" t="str">
        <f>IF(Calculation!E15=Calculation!$A$146,Calculation!I15,"")</f>
        <v/>
      </c>
      <c r="C15" s="52" t="str">
        <f>IF(Calculation!E15=Calculation!$A$146,Calculation!D15,"")</f>
        <v/>
      </c>
      <c r="D15" s="52" t="str">
        <f>IF(Calculation!E15=Calculation!$A$146,Calculation!C15,"")</f>
        <v/>
      </c>
      <c r="E15" s="52" t="str">
        <f>IF(Calculation!E15=Calculation!$A$146,Calculation!F15,"")</f>
        <v/>
      </c>
      <c r="F15" s="54" t="str">
        <f>IF(Calculation!E15=Calculation!$A$146,Calculation!G15,"")</f>
        <v/>
      </c>
      <c r="G15" s="54" t="str">
        <f>IF(Calculation!E15=Calculation!$A$146,Calculation!H15,"")</f>
        <v/>
      </c>
      <c r="H15" s="55"/>
      <c r="L15" s="78" t="s">
        <v>66</v>
      </c>
      <c r="O15" s="78" t="s">
        <v>67</v>
      </c>
      <c r="Q15" s="75">
        <v>36531.0</v>
      </c>
      <c r="S15" s="69"/>
      <c r="T15" s="70"/>
    </row>
    <row r="16">
      <c r="A16" s="52" t="str">
        <f>IF(Calculation!E16=Calculation!$A$146,Calculation!B16,"")</f>
        <v/>
      </c>
      <c r="B16" s="52" t="str">
        <f>IF(Calculation!E16=Calculation!$A$146,Calculation!I16,"")</f>
        <v/>
      </c>
      <c r="C16" s="52" t="str">
        <f>IF(Calculation!E16=Calculation!$A$146,Calculation!D16,"")</f>
        <v/>
      </c>
      <c r="D16" s="52" t="str">
        <f>IF(Calculation!E16=Calculation!$A$146,Calculation!C16,"")</f>
        <v/>
      </c>
      <c r="E16" s="52" t="str">
        <f>IF(Calculation!E16=Calculation!$A$146,Calculation!F16,"")</f>
        <v/>
      </c>
      <c r="F16" s="54" t="str">
        <f>IF(Calculation!E16=Calculation!$A$146,Calculation!G16,"")</f>
        <v/>
      </c>
      <c r="G16" s="54" t="str">
        <f>IF(Calculation!E16=Calculation!$A$146,Calculation!H16,"")</f>
        <v/>
      </c>
      <c r="H16" s="55"/>
      <c r="L16" s="81"/>
      <c r="M16" s="82"/>
      <c r="N16" s="82"/>
      <c r="O16" s="81"/>
      <c r="P16" s="82"/>
      <c r="Q16" s="81"/>
      <c r="R16" s="82"/>
      <c r="S16" s="62"/>
      <c r="T16" s="64"/>
    </row>
    <row r="17">
      <c r="A17" s="52" t="str">
        <f>IF(Calculation!E17=Calculation!$A$146,Calculation!B17,"")</f>
        <v/>
      </c>
      <c r="B17" s="52" t="str">
        <f>IF(Calculation!E17=Calculation!$A$146,Calculation!I17,"")</f>
        <v/>
      </c>
      <c r="C17" s="52" t="str">
        <f>IF(Calculation!E17=Calculation!$A$146,Calculation!D17,"")</f>
        <v/>
      </c>
      <c r="D17" s="52" t="str">
        <f>IF(Calculation!E17=Calculation!$A$146,Calculation!C17,"")</f>
        <v/>
      </c>
      <c r="E17" s="52" t="str">
        <f>IF(Calculation!E17=Calculation!$A$146,Calculation!F17,"")</f>
        <v/>
      </c>
      <c r="F17" s="54" t="str">
        <f>IF(Calculation!E17=Calculation!$A$146,Calculation!G17,"")</f>
        <v/>
      </c>
      <c r="G17" s="54" t="str">
        <f>IF(Calculation!E17=Calculation!$A$146,Calculation!H17,"")</f>
        <v/>
      </c>
      <c r="H17" s="55"/>
      <c r="L17" s="62"/>
      <c r="M17" s="62"/>
      <c r="N17" s="62"/>
      <c r="O17" s="62"/>
      <c r="P17" s="69"/>
      <c r="Q17" s="62"/>
      <c r="R17" s="62"/>
      <c r="S17" s="69"/>
      <c r="T17" s="70"/>
    </row>
    <row r="18">
      <c r="A18" s="52" t="str">
        <f>IF(Calculation!E18=Calculation!$A$146,Calculation!B18,"")</f>
        <v/>
      </c>
      <c r="B18" s="52" t="str">
        <f>IF(Calculation!E18=Calculation!$A$146,Calculation!I18,"")</f>
        <v/>
      </c>
      <c r="C18" s="52" t="str">
        <f>IF(Calculation!E18=Calculation!$A$146,Calculation!D18,"")</f>
        <v/>
      </c>
      <c r="D18" s="52" t="str">
        <f>IF(Calculation!E18=Calculation!$A$146,Calculation!C18,"")</f>
        <v/>
      </c>
      <c r="E18" s="52" t="str">
        <f>IF(Calculation!E18=Calculation!$A$146,Calculation!F18,"")</f>
        <v/>
      </c>
      <c r="F18" s="54" t="str">
        <f>IF(Calculation!E18=Calculation!$A$146,Calculation!G18,"")</f>
        <v/>
      </c>
      <c r="G18" s="54" t="str">
        <f>IF(Calculation!E18=Calculation!$A$146,Calculation!H18,"")</f>
        <v/>
      </c>
      <c r="H18" s="55"/>
      <c r="L18" s="83" t="s">
        <v>68</v>
      </c>
      <c r="P18" s="84" t="s">
        <v>49</v>
      </c>
      <c r="Q18" s="84" t="s">
        <v>69</v>
      </c>
      <c r="R18" s="84" t="s">
        <v>70</v>
      </c>
      <c r="S18" s="69"/>
      <c r="T18" s="70"/>
    </row>
    <row r="19" ht="23.25" customHeight="1">
      <c r="A19" s="52" t="str">
        <f>IF(Calculation!E19=Calculation!$A$146,Calculation!B19,"")</f>
        <v/>
      </c>
      <c r="B19" s="52" t="str">
        <f>IF(Calculation!E19=Calculation!$A$146,Calculation!I19,"")</f>
        <v/>
      </c>
      <c r="C19" s="52" t="str">
        <f>IF(Calculation!E19=Calculation!$A$146,Calculation!D19,"")</f>
        <v/>
      </c>
      <c r="D19" s="52" t="str">
        <f>IF(Calculation!E19=Calculation!$A$146,Calculation!C19,"")</f>
        <v/>
      </c>
      <c r="E19" s="52" t="str">
        <f>IF(Calculation!E19=Calculation!$A$146,Calculation!F19,"")</f>
        <v/>
      </c>
      <c r="F19" s="54" t="str">
        <f>IF(Calculation!E19=Calculation!$A$146,Calculation!G19,"")</f>
        <v/>
      </c>
      <c r="G19" s="54" t="str">
        <f>IF(Calculation!E19=Calculation!$A$146,Calculation!H19,"")</f>
        <v/>
      </c>
      <c r="H19" s="55"/>
      <c r="L19" s="85" t="s">
        <v>34</v>
      </c>
      <c r="P19" s="86">
        <f>SUMIFS(Calculation!$F$3:$F$125,Calculation!$C$3:$C$125,"Short Video Design",Calculation!$E$3:$E$125,Calculation!A146)</f>
        <v>2</v>
      </c>
      <c r="Q19" s="87">
        <f>(Calculation!B146)</f>
        <v>35</v>
      </c>
      <c r="R19" s="88">
        <f t="shared" ref="R19:R23" si="1">product(P19,Q19)</f>
        <v>70</v>
      </c>
      <c r="S19" s="69"/>
      <c r="T19" s="70"/>
    </row>
    <row r="20" ht="18.0" customHeight="1">
      <c r="A20" s="52" t="str">
        <f>IF(Calculation!E20=Calculation!$A$146,Calculation!B20,"")</f>
        <v/>
      </c>
      <c r="B20" s="52" t="str">
        <f>IF(Calculation!E20=Calculation!$A$146,Calculation!I20,"")</f>
        <v/>
      </c>
      <c r="C20" s="52" t="str">
        <f>IF(Calculation!E20=Calculation!$A$146,Calculation!D20,"")</f>
        <v/>
      </c>
      <c r="D20" s="52" t="str">
        <f>IF(Calculation!E20=Calculation!$A$146,Calculation!C20,"")</f>
        <v/>
      </c>
      <c r="E20" s="52" t="str">
        <f>IF(Calculation!E20=Calculation!$A$146,Calculation!F20,"")</f>
        <v/>
      </c>
      <c r="F20" s="54" t="str">
        <f>IF(Calculation!E20=Calculation!$A$146,Calculation!G20,"")</f>
        <v/>
      </c>
      <c r="G20" s="54" t="str">
        <f>IF(Calculation!E20=Calculation!$A$146,Calculation!H20,"")</f>
        <v/>
      </c>
      <c r="H20" s="55"/>
      <c r="L20" s="89" t="s">
        <v>35</v>
      </c>
      <c r="P20" s="86">
        <f>SUMIFS(Calculation!$F$3:$F$125,Calculation!$C$3:$C$125,"Long Video Design",Calculation!$E$3:$E$125,Calculation!A146)</f>
        <v>0</v>
      </c>
      <c r="Q20" s="87">
        <f>(Calculation!C146)</f>
        <v>20</v>
      </c>
      <c r="R20" s="90">
        <f t="shared" si="1"/>
        <v>0</v>
      </c>
      <c r="S20" s="69"/>
      <c r="T20" s="70"/>
    </row>
    <row r="21" ht="21.0" customHeight="1">
      <c r="A21" s="52" t="str">
        <f>IF(Calculation!E21=Calculation!$A$146,Calculation!B21,"")</f>
        <v/>
      </c>
      <c r="B21" s="52" t="str">
        <f>IF(Calculation!E21=Calculation!$A$146,Calculation!I21,"")</f>
        <v/>
      </c>
      <c r="C21" s="52" t="str">
        <f>IF(Calculation!E21=Calculation!$A$146,Calculation!D21,"")</f>
        <v/>
      </c>
      <c r="D21" s="52" t="str">
        <f>IF(Calculation!E21=Calculation!$A$146,Calculation!C21,"")</f>
        <v/>
      </c>
      <c r="E21" s="52" t="str">
        <f>IF(Calculation!E21=Calculation!$A$146,Calculation!F21,"")</f>
        <v/>
      </c>
      <c r="F21" s="54" t="str">
        <f>IF(Calculation!E21=Calculation!$A$146,Calculation!G21,"")</f>
        <v/>
      </c>
      <c r="G21" s="54" t="str">
        <f>IF(Calculation!E21=Calculation!$A$146,Calculation!H21,"")</f>
        <v/>
      </c>
      <c r="H21" s="55"/>
      <c r="L21" s="91" t="s">
        <v>25</v>
      </c>
      <c r="P21" s="86">
        <f>SUMIFS(Calculation!$F$3:$F$125,Calculation!$C$3:$C$125,"Content for Poster",Calculation!$E$3:$E$125,Calculation!A146)</f>
        <v>0</v>
      </c>
      <c r="Q21" s="87">
        <f>(Calculation!D146)</f>
        <v>44</v>
      </c>
      <c r="R21" s="88">
        <f t="shared" si="1"/>
        <v>0</v>
      </c>
      <c r="S21" s="69"/>
      <c r="T21" s="70"/>
    </row>
    <row r="22" ht="21.0" customHeight="1">
      <c r="A22" s="52" t="str">
        <f>IF(Calculation!E22=Calculation!$A$146,Calculation!B22,"")</f>
        <v/>
      </c>
      <c r="B22" s="52" t="str">
        <f>IF(Calculation!E22=Calculation!$A$146,Calculation!I22,"")</f>
        <v/>
      </c>
      <c r="C22" s="52" t="str">
        <f>IF(Calculation!E22=Calculation!$A$146,Calculation!D22,"")</f>
        <v/>
      </c>
      <c r="D22" s="52" t="str">
        <f>IF(Calculation!E22=Calculation!$A$146,Calculation!C22,"")</f>
        <v/>
      </c>
      <c r="E22" s="52" t="str">
        <f>IF(Calculation!E22=Calculation!$A$146,Calculation!F22,"")</f>
        <v/>
      </c>
      <c r="F22" s="54" t="str">
        <f>IF(Calculation!E22=Calculation!$A$146,Calculation!G22,"")</f>
        <v/>
      </c>
      <c r="G22" s="54" t="str">
        <f>IF(Calculation!E22=Calculation!$A$146,Calculation!H22,"")</f>
        <v/>
      </c>
      <c r="H22" s="55"/>
      <c r="L22" s="92" t="s">
        <v>36</v>
      </c>
      <c r="P22" s="86">
        <f>SUMIFS(Calculation!$F$3:$F$125,Calculation!$C$3:$C$125,"Content for Video",Calculation!$E$3:$E$125,Calculation!A146)</f>
        <v>0</v>
      </c>
      <c r="Q22" s="87">
        <f>(Calculation!E146)</f>
        <v>80</v>
      </c>
      <c r="R22" s="90">
        <f t="shared" si="1"/>
        <v>0</v>
      </c>
      <c r="S22" s="69"/>
      <c r="T22" s="70"/>
    </row>
    <row r="23" ht="20.25" customHeight="1">
      <c r="A23" s="52" t="str">
        <f>IF(Calculation!E23=Calculation!$A$146,Calculation!B23,"")</f>
        <v/>
      </c>
      <c r="B23" s="52" t="str">
        <f>IF(Calculation!E23=Calculation!$A$146,Calculation!I23,"")</f>
        <v/>
      </c>
      <c r="C23" s="52" t="str">
        <f>IF(Calculation!E23=Calculation!$A$146,Calculation!D23,"")</f>
        <v/>
      </c>
      <c r="D23" s="52" t="str">
        <f>IF(Calculation!E23=Calculation!$A$146,Calculation!C23,"")</f>
        <v/>
      </c>
      <c r="E23" s="52" t="str">
        <f>IF(Calculation!E23=Calculation!$A$146,Calculation!F23,"")</f>
        <v/>
      </c>
      <c r="F23" s="54" t="str">
        <f>IF(Calculation!E23=Calculation!$A$146,Calculation!G23,"")</f>
        <v/>
      </c>
      <c r="G23" s="54" t="str">
        <f>IF(Calculation!E23=Calculation!$A$146,Calculation!H23,"")</f>
        <v/>
      </c>
      <c r="H23" s="55"/>
      <c r="L23" s="93" t="s">
        <v>16</v>
      </c>
      <c r="M23" s="93"/>
      <c r="N23" s="94"/>
      <c r="O23" s="94"/>
      <c r="P23" s="86">
        <f>SUMIFS(Calculation!$F$3:$F$125,Calculation!$C$3:$C$125,"Poster Design",Calculation!$E$3:$E$125,Calculation!A146)</f>
        <v>0</v>
      </c>
      <c r="Q23" s="95">
        <f>(Calculation!F146)</f>
        <v>44</v>
      </c>
      <c r="R23" s="96">
        <f t="shared" si="1"/>
        <v>0</v>
      </c>
      <c r="S23" s="69"/>
      <c r="T23" s="70"/>
    </row>
    <row r="24">
      <c r="A24" s="52" t="str">
        <f>IF(Calculation!E24=Calculation!$A$146,Calculation!B24,"")</f>
        <v/>
      </c>
      <c r="B24" s="52" t="str">
        <f>IF(Calculation!E24=Calculation!$A$146,Calculation!I24,"")</f>
        <v/>
      </c>
      <c r="C24" s="52" t="str">
        <f>IF(Calculation!E24=Calculation!$A$146,Calculation!D24,"")</f>
        <v/>
      </c>
      <c r="D24" s="52" t="str">
        <f>IF(Calculation!E24=Calculation!$A$146,Calculation!C24,"")</f>
        <v/>
      </c>
      <c r="E24" s="52" t="str">
        <f>IF(Calculation!E24=Calculation!$A$146,Calculation!F24,"")</f>
        <v/>
      </c>
      <c r="F24" s="54" t="str">
        <f>IF(Calculation!E24=Calculation!$A$146,Calculation!G24,"")</f>
        <v/>
      </c>
      <c r="G24" s="54" t="str">
        <f>IF(Calculation!E24=Calculation!$A$146,Calculation!H24,"")</f>
        <v/>
      </c>
      <c r="H24" s="55"/>
      <c r="L24" s="97" t="s">
        <v>71</v>
      </c>
      <c r="M24" s="97"/>
      <c r="N24" s="62"/>
      <c r="Q24" s="109" t="s">
        <v>72</v>
      </c>
      <c r="R24" s="99">
        <f>sum(R19:R23)</f>
        <v>70</v>
      </c>
      <c r="S24" s="62"/>
      <c r="T24" s="64"/>
    </row>
    <row r="25">
      <c r="A25" s="52" t="str">
        <f>IF(Calculation!E25=Calculation!$A$146,Calculation!B25,"")</f>
        <v/>
      </c>
      <c r="B25" s="52" t="str">
        <f>IF(Calculation!E25=Calculation!$A$146,Calculation!I25,"")</f>
        <v/>
      </c>
      <c r="C25" s="52" t="str">
        <f>IF(Calculation!E25=Calculation!$A$146,Calculation!D25,"")</f>
        <v/>
      </c>
      <c r="D25" s="52" t="str">
        <f>IF(Calculation!E25=Calculation!$A$146,Calculation!C25,"")</f>
        <v/>
      </c>
      <c r="E25" s="52" t="str">
        <f>IF(Calculation!E25=Calculation!$A$146,Calculation!F25,"")</f>
        <v/>
      </c>
      <c r="F25" s="54" t="str">
        <f>IF(Calculation!E25=Calculation!$A$146,Calculation!G25,"")</f>
        <v/>
      </c>
      <c r="G25" s="54" t="str">
        <f>IF(Calculation!E25=Calculation!$A$146,Calculation!H25,"")</f>
        <v/>
      </c>
      <c r="H25" s="55"/>
      <c r="L25" s="62"/>
      <c r="M25" s="62"/>
      <c r="N25" s="62"/>
      <c r="Q25" s="109" t="s">
        <v>73</v>
      </c>
      <c r="R25" s="100">
        <v>0.0</v>
      </c>
      <c r="S25" s="62"/>
      <c r="T25" s="64"/>
    </row>
    <row r="26">
      <c r="A26" s="52" t="str">
        <f>IF(Calculation!E26=Calculation!$A$146,Calculation!B26,"")</f>
        <v/>
      </c>
      <c r="B26" s="52" t="str">
        <f>IF(Calculation!E26=Calculation!$A$146,Calculation!I26,"")</f>
        <v/>
      </c>
      <c r="C26" s="52" t="str">
        <f>IF(Calculation!E26=Calculation!$A$146,Calculation!D26,"")</f>
        <v/>
      </c>
      <c r="D26" s="52" t="str">
        <f>IF(Calculation!E26=Calculation!$A$146,Calculation!C26,"")</f>
        <v/>
      </c>
      <c r="E26" s="52" t="str">
        <f>IF(Calculation!E26=Calculation!$A$146,Calculation!F26,"")</f>
        <v/>
      </c>
      <c r="F26" s="54" t="str">
        <f>IF(Calculation!E26=Calculation!$A$146,Calculation!G26,"")</f>
        <v/>
      </c>
      <c r="G26" s="54" t="str">
        <f>IF(Calculation!E26=Calculation!$A$146,Calculation!H26,"")</f>
        <v/>
      </c>
      <c r="H26" s="55"/>
      <c r="L26" s="69"/>
      <c r="M26" s="69"/>
      <c r="N26" s="69"/>
      <c r="O26" s="69"/>
      <c r="P26" s="69"/>
      <c r="Q26" s="101">
        <f>sum(R24,R25)</f>
        <v>70</v>
      </c>
      <c r="S26" s="69"/>
      <c r="T26" s="70"/>
    </row>
    <row r="27">
      <c r="A27" s="52" t="str">
        <f>IF(Calculation!E27=Calculation!$A$146,Calculation!B27,"")</f>
        <v/>
      </c>
      <c r="B27" s="52" t="str">
        <f>IF(Calculation!E27=Calculation!$A$146,Calculation!I27,"")</f>
        <v/>
      </c>
      <c r="C27" s="52" t="str">
        <f>IF(Calculation!E27=Calculation!$A$146,Calculation!D27,"")</f>
        <v/>
      </c>
      <c r="D27" s="52" t="str">
        <f>IF(Calculation!E27=Calculation!$A$146,Calculation!C27,"")</f>
        <v/>
      </c>
      <c r="E27" s="52" t="str">
        <f>IF(Calculation!E27=Calculation!$A$146,Calculation!F27,"")</f>
        <v/>
      </c>
      <c r="F27" s="54" t="str">
        <f>IF(Calculation!E27=Calculation!$A$146,Calculation!G27,"")</f>
        <v/>
      </c>
      <c r="G27" s="54" t="str">
        <f>IF(Calculation!E27=Calculation!$A$146,Calculation!H27,"")</f>
        <v/>
      </c>
      <c r="H27" s="55"/>
      <c r="L27" s="102"/>
      <c r="M27" s="102"/>
      <c r="N27" s="69"/>
      <c r="O27" s="69"/>
      <c r="P27" s="69"/>
      <c r="Q27" s="69"/>
      <c r="R27" s="69"/>
      <c r="S27" s="69"/>
      <c r="T27" s="70"/>
    </row>
    <row r="28">
      <c r="A28" s="52" t="str">
        <f>IF(Calculation!E28=Calculation!$A$146,Calculation!B28,"")</f>
        <v/>
      </c>
      <c r="B28" s="52" t="str">
        <f>IF(Calculation!E28=Calculation!$A$146,Calculation!I28,"")</f>
        <v/>
      </c>
      <c r="C28" s="52" t="str">
        <f>IF(Calculation!E28=Calculation!$A$146,Calculation!D28,"")</f>
        <v/>
      </c>
      <c r="D28" s="52" t="str">
        <f>IF(Calculation!E28=Calculation!$A$146,Calculation!C28,"")</f>
        <v/>
      </c>
      <c r="E28" s="52" t="str">
        <f>IF(Calculation!E28=Calculation!$A$146,Calculation!F28,"")</f>
        <v/>
      </c>
      <c r="F28" s="54" t="str">
        <f>IF(Calculation!E28=Calculation!$A$146,Calculation!G28,"")</f>
        <v/>
      </c>
      <c r="G28" s="54" t="str">
        <f>IF(Calculation!E28=Calculation!$A$146,Calculation!H28,"")</f>
        <v/>
      </c>
      <c r="H28" s="55"/>
      <c r="T28" s="103"/>
    </row>
    <row r="29">
      <c r="A29" s="52" t="str">
        <f>IF(Calculation!E29=Calculation!$A$146,Calculation!B29,"")</f>
        <v/>
      </c>
      <c r="B29" s="52" t="str">
        <f>IF(Calculation!E29=Calculation!$A$146,Calculation!I29,"")</f>
        <v/>
      </c>
      <c r="C29" s="52" t="str">
        <f>IF(Calculation!E29=Calculation!$A$146,Calculation!D29,"")</f>
        <v/>
      </c>
      <c r="D29" s="52" t="str">
        <f>IF(Calculation!E29=Calculation!$A$146,Calculation!C29,"")</f>
        <v/>
      </c>
      <c r="E29" s="52" t="str">
        <f>IF(Calculation!E29=Calculation!$A$146,Calculation!F29,"")</f>
        <v/>
      </c>
      <c r="F29" s="54" t="str">
        <f>IF(Calculation!E29=Calculation!$A$146,Calculation!G29,"")</f>
        <v/>
      </c>
      <c r="G29" s="54" t="str">
        <f>IF(Calculation!E29=Calculation!$A$146,Calculation!H29,"")</f>
        <v/>
      </c>
      <c r="H29" s="55"/>
      <c r="T29" s="103"/>
    </row>
    <row r="30">
      <c r="A30" s="52" t="str">
        <f>IF(Calculation!E30=Calculation!$A$146,Calculation!B30,"")</f>
        <v/>
      </c>
      <c r="B30" s="52" t="str">
        <f>IF(Calculation!E30=Calculation!$A$146,Calculation!I30,"")</f>
        <v/>
      </c>
      <c r="C30" s="52" t="str">
        <f>IF(Calculation!E30=Calculation!$A$146,Calculation!D30,"")</f>
        <v/>
      </c>
      <c r="D30" s="52" t="str">
        <f>IF(Calculation!E30=Calculation!$A$146,Calculation!C30,"")</f>
        <v/>
      </c>
      <c r="E30" s="52" t="str">
        <f>IF(Calculation!E30=Calculation!$A$146,Calculation!F30,"")</f>
        <v/>
      </c>
      <c r="F30" s="54" t="str">
        <f>IF(Calculation!E30=Calculation!$A$146,Calculation!G30,"")</f>
        <v/>
      </c>
      <c r="G30" s="54" t="str">
        <f>IF(Calculation!E30=Calculation!$A$146,Calculation!H30,"")</f>
        <v/>
      </c>
      <c r="H30" s="55"/>
      <c r="T30" s="103"/>
    </row>
    <row r="31">
      <c r="A31" s="52" t="str">
        <f>IF(Calculation!E31=Calculation!$A$146,Calculation!B31,"")</f>
        <v/>
      </c>
      <c r="B31" s="52" t="str">
        <f>IF(Calculation!E31=Calculation!$A$146,Calculation!I31,"")</f>
        <v/>
      </c>
      <c r="C31" s="52" t="str">
        <f>IF(Calculation!E31=Calculation!$A$146,Calculation!D31,"")</f>
        <v/>
      </c>
      <c r="D31" s="52" t="str">
        <f>IF(Calculation!E31=Calculation!$A$146,Calculation!C31,"")</f>
        <v/>
      </c>
      <c r="E31" s="52" t="str">
        <f>IF(Calculation!E31=Calculation!$A$146,Calculation!F31,"")</f>
        <v/>
      </c>
      <c r="F31" s="54" t="str">
        <f>IF(Calculation!E31=Calculation!$A$146,Calculation!G31,"")</f>
        <v/>
      </c>
      <c r="G31" s="54" t="str">
        <f>IF(Calculation!E31=Calculation!$A$146,Calculation!H31,"")</f>
        <v/>
      </c>
      <c r="H31" s="55"/>
      <c r="T31" s="103"/>
    </row>
    <row r="32">
      <c r="A32" s="52" t="str">
        <f>IF(Calculation!E32=Calculation!$A$146,Calculation!B32,"")</f>
        <v/>
      </c>
      <c r="B32" s="52" t="str">
        <f>IF(Calculation!E32=Calculation!$A$146,Calculation!I32,"")</f>
        <v/>
      </c>
      <c r="C32" s="52" t="str">
        <f>IF(Calculation!E32=Calculation!$A$146,Calculation!D32,"")</f>
        <v/>
      </c>
      <c r="D32" s="52" t="str">
        <f>IF(Calculation!E32=Calculation!$A$146,Calculation!C32,"")</f>
        <v/>
      </c>
      <c r="E32" s="52" t="str">
        <f>IF(Calculation!E32=Calculation!$A$146,Calculation!F32,"")</f>
        <v/>
      </c>
      <c r="F32" s="54" t="str">
        <f>IF(Calculation!E32=Calculation!$A$146,Calculation!G32,"")</f>
        <v/>
      </c>
      <c r="G32" s="54" t="str">
        <f>IF(Calculation!E32=Calculation!$A$146,Calculation!H32,"")</f>
        <v/>
      </c>
      <c r="H32" s="55"/>
      <c r="T32" s="103"/>
    </row>
    <row r="33">
      <c r="A33" s="52" t="str">
        <f>IF(Calculation!E33=Calculation!$A$146,Calculation!B33,"")</f>
        <v/>
      </c>
      <c r="B33" s="52" t="str">
        <f>IF(Calculation!E33=Calculation!$A$146,Calculation!I33,"")</f>
        <v/>
      </c>
      <c r="C33" s="52" t="str">
        <f>IF(Calculation!E33=Calculation!$A$146,Calculation!D33,"")</f>
        <v/>
      </c>
      <c r="D33" s="52" t="str">
        <f>IF(Calculation!E33=Calculation!$A$146,Calculation!C33,"")</f>
        <v/>
      </c>
      <c r="E33" s="52" t="str">
        <f>IF(Calculation!E33=Calculation!$A$146,Calculation!F33,"")</f>
        <v/>
      </c>
      <c r="F33" s="54" t="str">
        <f>IF(Calculation!E33=Calculation!$A$146,Calculation!G33,"")</f>
        <v/>
      </c>
      <c r="G33" s="54" t="str">
        <f>IF(Calculation!E33=Calculation!$A$146,Calculation!H33,"")</f>
        <v/>
      </c>
      <c r="H33" s="55"/>
      <c r="T33" s="103"/>
    </row>
    <row r="34">
      <c r="A34" s="52" t="str">
        <f>IF(Calculation!E34=Calculation!$A$146,Calculation!B34,"")</f>
        <v/>
      </c>
      <c r="B34" s="52" t="str">
        <f>IF(Calculation!E34=Calculation!$A$146,Calculation!I34,"")</f>
        <v/>
      </c>
      <c r="C34" s="52" t="str">
        <f>IF(Calculation!E34=Calculation!$A$146,Calculation!D34,"")</f>
        <v/>
      </c>
      <c r="D34" s="52" t="str">
        <f>IF(Calculation!E34=Calculation!$A$146,Calculation!C34,"")</f>
        <v/>
      </c>
      <c r="E34" s="52" t="str">
        <f>IF(Calculation!E34=Calculation!$A$146,Calculation!F34,"")</f>
        <v/>
      </c>
      <c r="F34" s="54" t="str">
        <f>IF(Calculation!E34=Calculation!$A$146,Calculation!G34,"")</f>
        <v/>
      </c>
      <c r="G34" s="54" t="str">
        <f>IF(Calculation!E34=Calculation!$A$146,Calculation!H34,"")</f>
        <v/>
      </c>
      <c r="H34" s="55"/>
      <c r="T34" s="103"/>
    </row>
    <row r="35">
      <c r="A35" s="52" t="str">
        <f>IF(Calculation!E35=Calculation!$A$146,Calculation!B35,"")</f>
        <v/>
      </c>
      <c r="B35" s="52" t="str">
        <f>IF(Calculation!E35=Calculation!$A$146,Calculation!I35,"")</f>
        <v/>
      </c>
      <c r="C35" s="52" t="str">
        <f>IF(Calculation!E35=Calculation!$A$146,Calculation!D35,"")</f>
        <v/>
      </c>
      <c r="D35" s="52" t="str">
        <f>IF(Calculation!E35=Calculation!$A$146,Calculation!C35,"")</f>
        <v/>
      </c>
      <c r="E35" s="52" t="str">
        <f>IF(Calculation!E35=Calculation!$A$146,Calculation!F35,"")</f>
        <v/>
      </c>
      <c r="F35" s="54" t="str">
        <f>IF(Calculation!E35=Calculation!$A$146,Calculation!G35,"")</f>
        <v/>
      </c>
      <c r="G35" s="54" t="str">
        <f>IF(Calculation!E35=Calculation!$A$146,Calculation!H35,"")</f>
        <v/>
      </c>
      <c r="H35" s="55"/>
      <c r="T35" s="103"/>
    </row>
    <row r="36">
      <c r="A36" s="52" t="str">
        <f>IF(Calculation!E36=Calculation!$A$146,Calculation!B36,"")</f>
        <v/>
      </c>
      <c r="B36" s="52" t="str">
        <f>IF(Calculation!E36=Calculation!$A$146,Calculation!I36,"")</f>
        <v/>
      </c>
      <c r="C36" s="52" t="str">
        <f>IF(Calculation!E36=Calculation!$A$146,Calculation!D36,"")</f>
        <v/>
      </c>
      <c r="D36" s="52" t="str">
        <f>IF(Calculation!E36=Calculation!$A$146,Calculation!C36,"")</f>
        <v/>
      </c>
      <c r="E36" s="52" t="str">
        <f>IF(Calculation!E36=Calculation!$A$146,Calculation!F36,"")</f>
        <v/>
      </c>
      <c r="F36" s="54" t="str">
        <f>IF(Calculation!E36=Calculation!$A$146,Calculation!G36,"")</f>
        <v/>
      </c>
      <c r="G36" s="54" t="str">
        <f>IF(Calculation!E36=Calculation!$A$146,Calculation!H36,"")</f>
        <v/>
      </c>
      <c r="H36" s="55"/>
      <c r="T36" s="103"/>
    </row>
    <row r="37">
      <c r="A37" s="52" t="str">
        <f>IF(Calculation!E37=Calculation!$A$146,Calculation!B37,"")</f>
        <v/>
      </c>
      <c r="B37" s="52" t="str">
        <f>IF(Calculation!E37=Calculation!$A$146,Calculation!I37,"")</f>
        <v/>
      </c>
      <c r="C37" s="52" t="str">
        <f>IF(Calculation!E37=Calculation!$A$146,Calculation!D37,"")</f>
        <v/>
      </c>
      <c r="D37" s="52" t="str">
        <f>IF(Calculation!E37=Calculation!$A$146,Calculation!C37,"")</f>
        <v/>
      </c>
      <c r="E37" s="52" t="str">
        <f>IF(Calculation!E37=Calculation!$A$146,Calculation!F37,"")</f>
        <v/>
      </c>
      <c r="F37" s="54" t="str">
        <f>IF(Calculation!E37=Calculation!$A$146,Calculation!G37,"")</f>
        <v/>
      </c>
      <c r="G37" s="54" t="str">
        <f>IF(Calculation!E37=Calculation!$A$146,Calculation!H37,"")</f>
        <v/>
      </c>
      <c r="H37" s="55"/>
      <c r="T37" s="103"/>
    </row>
    <row r="38">
      <c r="A38" s="52" t="str">
        <f>IF(Calculation!E38=Calculation!$A$146,Calculation!B38,"")</f>
        <v/>
      </c>
      <c r="B38" s="52" t="str">
        <f>IF(Calculation!E38=Calculation!$A$146,Calculation!I38,"")</f>
        <v/>
      </c>
      <c r="C38" s="52" t="str">
        <f>IF(Calculation!E38=Calculation!$A$146,Calculation!D38,"")</f>
        <v/>
      </c>
      <c r="D38" s="52" t="str">
        <f>IF(Calculation!E38=Calculation!$A$146,Calculation!C38,"")</f>
        <v/>
      </c>
      <c r="E38" s="52" t="str">
        <f>IF(Calculation!E38=Calculation!$A$146,Calculation!F38,"")</f>
        <v/>
      </c>
      <c r="F38" s="54" t="str">
        <f>IF(Calculation!E38=Calculation!$A$146,Calculation!G38,"")</f>
        <v/>
      </c>
      <c r="G38" s="54" t="str">
        <f>IF(Calculation!E38=Calculation!$A$146,Calculation!H38,"")</f>
        <v/>
      </c>
      <c r="H38" s="55"/>
      <c r="T38" s="103"/>
    </row>
    <row r="39">
      <c r="A39" s="52" t="str">
        <f>IF(Calculation!E39=Calculation!$A$146,Calculation!B39,"")</f>
        <v/>
      </c>
      <c r="B39" s="52" t="str">
        <f>IF(Calculation!E39=Calculation!$A$146,Calculation!I39,"")</f>
        <v/>
      </c>
      <c r="C39" s="52" t="str">
        <f>IF(Calculation!E39=Calculation!$A$146,Calculation!D39,"")</f>
        <v/>
      </c>
      <c r="D39" s="52" t="str">
        <f>IF(Calculation!E39=Calculation!$A$146,Calculation!C39,"")</f>
        <v/>
      </c>
      <c r="E39" s="52" t="str">
        <f>IF(Calculation!E39=Calculation!$A$146,Calculation!F39,"")</f>
        <v/>
      </c>
      <c r="F39" s="54" t="str">
        <f>IF(Calculation!E39=Calculation!$A$146,Calculation!G39,"")</f>
        <v/>
      </c>
      <c r="G39" s="54" t="str">
        <f>IF(Calculation!E39=Calculation!$A$146,Calculation!H39,"")</f>
        <v/>
      </c>
      <c r="H39" s="55"/>
      <c r="T39" s="103"/>
    </row>
    <row r="40">
      <c r="A40" s="52" t="str">
        <f>IF(Calculation!E40=Calculation!$A$146,Calculation!B40,"")</f>
        <v/>
      </c>
      <c r="B40" s="52" t="str">
        <f>IF(Calculation!E40=Calculation!$A$146,Calculation!I40,"")</f>
        <v/>
      </c>
      <c r="C40" s="52" t="str">
        <f>IF(Calculation!E40=Calculation!$A$146,Calculation!D40,"")</f>
        <v/>
      </c>
      <c r="D40" s="52" t="str">
        <f>IF(Calculation!E40=Calculation!$A$146,Calculation!C40,"")</f>
        <v/>
      </c>
      <c r="E40" s="52" t="str">
        <f>IF(Calculation!E40=Calculation!$A$146,Calculation!F40,"")</f>
        <v/>
      </c>
      <c r="F40" s="54" t="str">
        <f>IF(Calculation!E40=Calculation!$A$146,Calculation!G40,"")</f>
        <v/>
      </c>
      <c r="G40" s="54" t="str">
        <f>IF(Calculation!E40=Calculation!$A$146,Calculation!H40,"")</f>
        <v/>
      </c>
      <c r="H40" s="55"/>
      <c r="L40" s="104"/>
      <c r="M40" s="104"/>
      <c r="N40" s="104"/>
      <c r="O40" s="104"/>
      <c r="P40" s="104"/>
      <c r="Q40" s="104"/>
      <c r="R40" s="104"/>
      <c r="S40" s="104"/>
      <c r="T40" s="105"/>
    </row>
    <row r="41">
      <c r="A41" s="52" t="str">
        <f>IF(Calculation!E41=Calculation!$A$146,Calculation!B41,"")</f>
        <v/>
      </c>
      <c r="B41" s="52" t="str">
        <f>IF(Calculation!E41=Calculation!$A$146,Calculation!I41,"")</f>
        <v/>
      </c>
      <c r="C41" s="52" t="str">
        <f>IF(Calculation!E41=Calculation!$A$146,Calculation!D41,"")</f>
        <v/>
      </c>
      <c r="D41" s="52" t="str">
        <f>IF(Calculation!E41=Calculation!$A$146,Calculation!C41,"")</f>
        <v/>
      </c>
      <c r="E41" s="52" t="str">
        <f>IF(Calculation!E41=Calculation!$A$146,Calculation!F41,"")</f>
        <v/>
      </c>
      <c r="F41" s="54" t="str">
        <f>IF(Calculation!E41=Calculation!$A$146,Calculation!G41,"")</f>
        <v/>
      </c>
      <c r="G41" s="54" t="str">
        <f>IF(Calculation!E41=Calculation!$A$146,Calculation!H41,"")</f>
        <v/>
      </c>
      <c r="H41" s="55"/>
    </row>
    <row r="42">
      <c r="A42" s="52" t="str">
        <f>IF(Calculation!E42=Calculation!$A$146,Calculation!B42,"")</f>
        <v/>
      </c>
      <c r="B42" s="52" t="str">
        <f>IF(Calculation!E42=Calculation!$A$146,Calculation!I42,"")</f>
        <v/>
      </c>
      <c r="C42" s="52" t="str">
        <f>IF(Calculation!E42=Calculation!$A$146,Calculation!D42,"")</f>
        <v/>
      </c>
      <c r="D42" s="52" t="str">
        <f>IF(Calculation!E42=Calculation!$A$146,Calculation!C42,"")</f>
        <v/>
      </c>
      <c r="E42" s="52" t="str">
        <f>IF(Calculation!E42=Calculation!$A$146,Calculation!F42,"")</f>
        <v/>
      </c>
      <c r="F42" s="54" t="str">
        <f>IF(Calculation!E42=Calculation!$A$146,Calculation!G42,"")</f>
        <v/>
      </c>
      <c r="G42" s="54" t="str">
        <f>IF(Calculation!E42=Calculation!$A$146,Calculation!H42,"")</f>
        <v/>
      </c>
      <c r="H42" s="55"/>
    </row>
    <row r="43">
      <c r="A43" s="52" t="str">
        <f>IF(Calculation!E43=Calculation!$A$146,Calculation!B43,"")</f>
        <v/>
      </c>
      <c r="B43" s="52" t="str">
        <f>IF(Calculation!E43=Calculation!$A$146,Calculation!I43,"")</f>
        <v/>
      </c>
      <c r="C43" s="52" t="str">
        <f>IF(Calculation!E43=Calculation!$A$146,Calculation!D43,"")</f>
        <v/>
      </c>
      <c r="D43" s="52" t="str">
        <f>IF(Calculation!E43=Calculation!$A$146,Calculation!C43,"")</f>
        <v/>
      </c>
      <c r="E43" s="52" t="str">
        <f>IF(Calculation!E43=Calculation!$A$146,Calculation!F43,"")</f>
        <v/>
      </c>
      <c r="F43" s="54" t="str">
        <f>IF(Calculation!E43=Calculation!$A$146,Calculation!G43,"")</f>
        <v/>
      </c>
      <c r="G43" s="54" t="str">
        <f>IF(Calculation!E43=Calculation!$A$146,Calculation!H43,"")</f>
        <v/>
      </c>
      <c r="H43" s="55"/>
    </row>
    <row r="44">
      <c r="A44" s="52" t="str">
        <f>IF(Calculation!E44=Calculation!$A$146,Calculation!B44,"")</f>
        <v/>
      </c>
      <c r="B44" s="52" t="str">
        <f>IF(Calculation!E44=Calculation!$A$146,Calculation!I44,"")</f>
        <v/>
      </c>
      <c r="C44" s="52" t="str">
        <f>IF(Calculation!E44=Calculation!$A$146,Calculation!D44,"")</f>
        <v/>
      </c>
      <c r="D44" s="52" t="str">
        <f>IF(Calculation!E44=Calculation!$A$146,Calculation!C44,"")</f>
        <v/>
      </c>
      <c r="E44" s="52" t="str">
        <f>IF(Calculation!E44=Calculation!$A$146,Calculation!F44,"")</f>
        <v/>
      </c>
      <c r="F44" s="54" t="str">
        <f>IF(Calculation!E44=Calculation!$A$146,Calculation!G44,"")</f>
        <v/>
      </c>
      <c r="G44" s="54" t="str">
        <f>IF(Calculation!E44=Calculation!$A$146,Calculation!H44,"")</f>
        <v/>
      </c>
      <c r="H44" s="55"/>
    </row>
    <row r="45">
      <c r="A45" s="52" t="str">
        <f>IF(Calculation!E45=Calculation!$A$146,Calculation!B45,"")</f>
        <v/>
      </c>
      <c r="B45" s="52" t="str">
        <f>IF(Calculation!E45=Calculation!$A$146,Calculation!I45,"")</f>
        <v/>
      </c>
      <c r="C45" s="52" t="str">
        <f>IF(Calculation!E45=Calculation!$A$146,Calculation!D45,"")</f>
        <v/>
      </c>
      <c r="D45" s="52" t="str">
        <f>IF(Calculation!E45=Calculation!$A$146,Calculation!C45,"")</f>
        <v/>
      </c>
      <c r="E45" s="52" t="str">
        <f>IF(Calculation!E45=Calculation!$A$146,Calculation!F45,"")</f>
        <v/>
      </c>
      <c r="F45" s="54" t="str">
        <f>IF(Calculation!E45=Calculation!$A$146,Calculation!G45,"")</f>
        <v/>
      </c>
      <c r="G45" s="54" t="str">
        <f>IF(Calculation!E45=Calculation!$A$146,Calculation!H45,"")</f>
        <v/>
      </c>
      <c r="H45" s="55"/>
    </row>
    <row r="46">
      <c r="A46" s="52" t="str">
        <f>IF(Calculation!E46=Calculation!$A$146,Calculation!B46,"")</f>
        <v/>
      </c>
      <c r="B46" s="52" t="str">
        <f>IF(Calculation!E46=Calculation!$A$146,Calculation!I46,"")</f>
        <v/>
      </c>
      <c r="C46" s="52" t="str">
        <f>IF(Calculation!E46=Calculation!$A$146,Calculation!D46,"")</f>
        <v/>
      </c>
      <c r="D46" s="52" t="str">
        <f>IF(Calculation!E46=Calculation!$A$146,Calculation!C46,"")</f>
        <v/>
      </c>
      <c r="E46" s="52" t="str">
        <f>IF(Calculation!E46=Calculation!$A$146,Calculation!F46,"")</f>
        <v/>
      </c>
      <c r="F46" s="54" t="str">
        <f>IF(Calculation!E46=Calculation!$A$146,Calculation!G46,"")</f>
        <v/>
      </c>
      <c r="G46" s="54" t="str">
        <f>IF(Calculation!E46=Calculation!$A$146,Calculation!H46,"")</f>
        <v/>
      </c>
      <c r="H46" s="55"/>
    </row>
    <row r="47">
      <c r="A47" s="52" t="str">
        <f>IF(Calculation!E47=Calculation!$A$146,Calculation!B47,"")</f>
        <v/>
      </c>
      <c r="B47" s="52" t="str">
        <f>IF(Calculation!E47=Calculation!$A$146,Calculation!I47,"")</f>
        <v/>
      </c>
      <c r="C47" s="52" t="str">
        <f>IF(Calculation!E47=Calculation!$A$146,Calculation!D47,"")</f>
        <v/>
      </c>
      <c r="D47" s="52" t="str">
        <f>IF(Calculation!E47=Calculation!$A$146,Calculation!C47,"")</f>
        <v/>
      </c>
      <c r="E47" s="52" t="str">
        <f>IF(Calculation!E47=Calculation!$A$146,Calculation!F47,"")</f>
        <v/>
      </c>
      <c r="F47" s="54" t="str">
        <f>IF(Calculation!E47=Calculation!$A$146,Calculation!G47,"")</f>
        <v/>
      </c>
      <c r="G47" s="54" t="str">
        <f>IF(Calculation!E47=Calculation!$A$146,Calculation!H47,"")</f>
        <v/>
      </c>
      <c r="H47" s="55"/>
    </row>
    <row r="48">
      <c r="A48" s="52" t="str">
        <f>IF(Calculation!E48=Calculation!$A$146,Calculation!B48,"")</f>
        <v/>
      </c>
      <c r="B48" s="52" t="str">
        <f>IF(Calculation!E48=Calculation!$A$146,Calculation!I48,"")</f>
        <v/>
      </c>
      <c r="C48" s="52" t="str">
        <f>IF(Calculation!E48=Calculation!$A$146,Calculation!D48,"")</f>
        <v/>
      </c>
      <c r="D48" s="52" t="str">
        <f>IF(Calculation!E48=Calculation!$A$146,Calculation!C48,"")</f>
        <v/>
      </c>
      <c r="E48" s="52" t="str">
        <f>IF(Calculation!E48=Calculation!$A$146,Calculation!F48,"")</f>
        <v/>
      </c>
      <c r="F48" s="54" t="str">
        <f>IF(Calculation!E48=Calculation!$A$146,Calculation!G48,"")</f>
        <v/>
      </c>
      <c r="G48" s="54" t="str">
        <f>IF(Calculation!E48=Calculation!$A$146,Calculation!H48,"")</f>
        <v/>
      </c>
      <c r="H48" s="55"/>
    </row>
    <row r="49">
      <c r="A49" s="52" t="str">
        <f>IF(Calculation!E49=Calculation!$A$146,Calculation!B49,"")</f>
        <v/>
      </c>
      <c r="B49" s="52" t="str">
        <f>IF(Calculation!E49=Calculation!$A$146,Calculation!I49,"")</f>
        <v/>
      </c>
      <c r="C49" s="52" t="str">
        <f>IF(Calculation!E49=Calculation!$A$146,Calculation!D49,"")</f>
        <v/>
      </c>
      <c r="D49" s="52" t="str">
        <f>IF(Calculation!E49=Calculation!$A$146,Calculation!C49,"")</f>
        <v/>
      </c>
      <c r="E49" s="52" t="str">
        <f>IF(Calculation!E49=Calculation!$A$146,Calculation!F49,"")</f>
        <v/>
      </c>
      <c r="F49" s="54" t="str">
        <f>IF(Calculation!E49=Calculation!$A$146,Calculation!G49,"")</f>
        <v/>
      </c>
      <c r="G49" s="54" t="str">
        <f>IF(Calculation!E49=Calculation!$A$146,Calculation!H49,"")</f>
        <v/>
      </c>
      <c r="H49" s="55"/>
    </row>
    <row r="50">
      <c r="A50" s="52" t="str">
        <f>IF(Calculation!E50=Calculation!$A$146,Calculation!B50,"")</f>
        <v/>
      </c>
      <c r="B50" s="52" t="str">
        <f>IF(Calculation!E50=Calculation!$A$146,Calculation!I50,"")</f>
        <v/>
      </c>
      <c r="C50" s="52" t="str">
        <f>IF(Calculation!E50=Calculation!$A$146,Calculation!D50,"")</f>
        <v/>
      </c>
      <c r="D50" s="52" t="str">
        <f>IF(Calculation!E50=Calculation!$A$146,Calculation!C50,"")</f>
        <v/>
      </c>
      <c r="E50" s="52" t="str">
        <f>IF(Calculation!E50=Calculation!$A$146,Calculation!F50,"")</f>
        <v/>
      </c>
      <c r="F50" s="54" t="str">
        <f>IF(Calculation!E50=Calculation!$A$146,Calculation!G50,"")</f>
        <v/>
      </c>
      <c r="G50" s="54" t="str">
        <f>IF(Calculation!E50=Calculation!$A$146,Calculation!H50,"")</f>
        <v/>
      </c>
      <c r="H50" s="55"/>
    </row>
    <row r="51">
      <c r="A51" s="52" t="str">
        <f>IF(Calculation!E51=Calculation!$A$146,Calculation!B51,"")</f>
        <v/>
      </c>
      <c r="B51" s="52" t="str">
        <f>IF(Calculation!E51=Calculation!$A$146,Calculation!I51,"")</f>
        <v/>
      </c>
      <c r="C51" s="52" t="str">
        <f>IF(Calculation!E51=Calculation!$A$146,Calculation!D51,"")</f>
        <v/>
      </c>
      <c r="D51" s="52" t="str">
        <f>IF(Calculation!E51=Calculation!$A$146,Calculation!C51,"")</f>
        <v/>
      </c>
      <c r="E51" s="52" t="str">
        <f>IF(Calculation!E51=Calculation!$A$146,Calculation!F51,"")</f>
        <v/>
      </c>
      <c r="F51" s="54" t="str">
        <f>IF(Calculation!E51=Calculation!$A$146,Calculation!G51,"")</f>
        <v/>
      </c>
      <c r="G51" s="54" t="str">
        <f>IF(Calculation!E51=Calculation!$A$146,Calculation!H51,"")</f>
        <v/>
      </c>
      <c r="H51" s="55"/>
    </row>
    <row r="52">
      <c r="A52" s="52" t="str">
        <f>IF(Calculation!E52=Calculation!$A$146,Calculation!B52,"")</f>
        <v/>
      </c>
      <c r="B52" s="52" t="str">
        <f>IF(Calculation!E52=Calculation!$A$146,Calculation!I52,"")</f>
        <v/>
      </c>
      <c r="C52" s="52" t="str">
        <f>IF(Calculation!E52=Calculation!$A$146,Calculation!D52,"")</f>
        <v/>
      </c>
      <c r="D52" s="52" t="str">
        <f>IF(Calculation!E52=Calculation!$A$146,Calculation!C52,"")</f>
        <v/>
      </c>
      <c r="E52" s="52" t="str">
        <f>IF(Calculation!E52=Calculation!$A$146,Calculation!F52,"")</f>
        <v/>
      </c>
      <c r="F52" s="54" t="str">
        <f>IF(Calculation!E52=Calculation!$A$146,Calculation!G52,"")</f>
        <v/>
      </c>
      <c r="G52" s="54" t="str">
        <f>IF(Calculation!E52=Calculation!$A$146,Calculation!H52,"")</f>
        <v/>
      </c>
      <c r="H52" s="55"/>
    </row>
    <row r="53">
      <c r="A53" s="52" t="str">
        <f>IF(Calculation!E53=Calculation!$A$146,Calculation!B53,"")</f>
        <v/>
      </c>
      <c r="B53" s="52" t="str">
        <f>IF(Calculation!E53=Calculation!$A$146,Calculation!I53,"")</f>
        <v/>
      </c>
      <c r="C53" s="52" t="str">
        <f>IF(Calculation!E53=Calculation!$A$146,Calculation!D53,"")</f>
        <v/>
      </c>
      <c r="D53" s="52" t="str">
        <f>IF(Calculation!E53=Calculation!$A$146,Calculation!C53,"")</f>
        <v/>
      </c>
      <c r="E53" s="52" t="str">
        <f>IF(Calculation!E53=Calculation!$A$146,Calculation!F53,"")</f>
        <v/>
      </c>
      <c r="F53" s="54" t="str">
        <f>IF(Calculation!E53=Calculation!$A$146,Calculation!G53,"")</f>
        <v/>
      </c>
      <c r="G53" s="54" t="str">
        <f>IF(Calculation!E53=Calculation!$A$146,Calculation!H53,"")</f>
        <v/>
      </c>
      <c r="H53" s="55"/>
    </row>
    <row r="54">
      <c r="A54" s="52" t="str">
        <f>IF(Calculation!E54=Calculation!$A$146,Calculation!B54,"")</f>
        <v/>
      </c>
      <c r="B54" s="52" t="str">
        <f>IF(Calculation!E54=Calculation!$A$146,Calculation!I54,"")</f>
        <v/>
      </c>
      <c r="C54" s="52" t="str">
        <f>IF(Calculation!E54=Calculation!$A$146,Calculation!D54,"")</f>
        <v/>
      </c>
      <c r="D54" s="52" t="str">
        <f>IF(Calculation!E54=Calculation!$A$146,Calculation!C54,"")</f>
        <v/>
      </c>
      <c r="E54" s="52" t="str">
        <f>IF(Calculation!E54=Calculation!$A$146,Calculation!F54,"")</f>
        <v/>
      </c>
      <c r="F54" s="54" t="str">
        <f>IF(Calculation!E54=Calculation!$A$146,Calculation!G54,"")</f>
        <v/>
      </c>
      <c r="G54" s="54" t="str">
        <f>IF(Calculation!E54=Calculation!$A$146,Calculation!H54,"")</f>
        <v/>
      </c>
      <c r="H54" s="55"/>
    </row>
    <row r="55">
      <c r="A55" s="52" t="str">
        <f>IF(Calculation!E55=Calculation!$A$146,Calculation!B55,"")</f>
        <v/>
      </c>
      <c r="B55" s="52" t="str">
        <f>IF(Calculation!E55=Calculation!$A$146,Calculation!I55,"")</f>
        <v/>
      </c>
      <c r="C55" s="52" t="str">
        <f>IF(Calculation!E55=Calculation!$A$146,Calculation!D55,"")</f>
        <v/>
      </c>
      <c r="D55" s="52" t="str">
        <f>IF(Calculation!E55=Calculation!$A$146,Calculation!C55,"")</f>
        <v/>
      </c>
      <c r="E55" s="52" t="str">
        <f>IF(Calculation!E55=Calculation!$A$146,Calculation!F55,"")</f>
        <v/>
      </c>
      <c r="F55" s="54" t="str">
        <f>IF(Calculation!E55=Calculation!$A$146,Calculation!G55,"")</f>
        <v/>
      </c>
      <c r="G55" s="54" t="str">
        <f>IF(Calculation!E55=Calculation!$A$146,Calculation!H55,"")</f>
        <v/>
      </c>
      <c r="H55" s="55"/>
    </row>
    <row r="56">
      <c r="A56" s="52" t="str">
        <f>IF(Calculation!E56=Calculation!$A$146,Calculation!B56,"")</f>
        <v/>
      </c>
      <c r="B56" s="52" t="str">
        <f>IF(Calculation!E56=Calculation!$A$146,Calculation!I56,"")</f>
        <v/>
      </c>
      <c r="C56" s="52" t="str">
        <f>IF(Calculation!E56=Calculation!$A$146,Calculation!D56,"")</f>
        <v/>
      </c>
      <c r="D56" s="52" t="str">
        <f>IF(Calculation!E56=Calculation!$A$146,Calculation!C56,"")</f>
        <v/>
      </c>
      <c r="E56" s="52" t="str">
        <f>IF(Calculation!E56=Calculation!$A$146,Calculation!F56,"")</f>
        <v/>
      </c>
      <c r="F56" s="54" t="str">
        <f>IF(Calculation!E56=Calculation!$A$146,Calculation!G56,"")</f>
        <v/>
      </c>
      <c r="G56" s="54" t="str">
        <f>IF(Calculation!E56=Calculation!$A$146,Calculation!H56,"")</f>
        <v/>
      </c>
      <c r="H56" s="55"/>
    </row>
    <row r="57">
      <c r="A57" s="52" t="str">
        <f>IF(Calculation!E57=Calculation!$A$146,Calculation!B57,"")</f>
        <v/>
      </c>
      <c r="B57" s="52" t="str">
        <f>IF(Calculation!E57=Calculation!$A$146,Calculation!I57,"")</f>
        <v/>
      </c>
      <c r="C57" s="52" t="str">
        <f>IF(Calculation!E57=Calculation!$A$146,Calculation!D57,"")</f>
        <v/>
      </c>
      <c r="D57" s="52" t="str">
        <f>IF(Calculation!E57=Calculation!$A$146,Calculation!C57,"")</f>
        <v/>
      </c>
      <c r="E57" s="52" t="str">
        <f>IF(Calculation!E57=Calculation!$A$146,Calculation!F57,"")</f>
        <v/>
      </c>
      <c r="F57" s="54" t="str">
        <f>IF(Calculation!E57=Calculation!$A$146,Calculation!G57,"")</f>
        <v/>
      </c>
      <c r="G57" s="54" t="str">
        <f>IF(Calculation!E57=Calculation!$A$146,Calculation!H57,"")</f>
        <v/>
      </c>
      <c r="H57" s="55"/>
    </row>
    <row r="58">
      <c r="A58" s="52" t="str">
        <f>IF(Calculation!E58=Calculation!$A$146,Calculation!B58,"")</f>
        <v/>
      </c>
      <c r="B58" s="52" t="str">
        <f>IF(Calculation!E58=Calculation!$A$146,Calculation!I58,"")</f>
        <v/>
      </c>
      <c r="C58" s="52" t="str">
        <f>IF(Calculation!E58=Calculation!$A$146,Calculation!D58,"")</f>
        <v/>
      </c>
      <c r="D58" s="52" t="str">
        <f>IF(Calculation!E58=Calculation!$A$146,Calculation!C58,"")</f>
        <v/>
      </c>
      <c r="E58" s="52" t="str">
        <f>IF(Calculation!E58=Calculation!$A$146,Calculation!F58,"")</f>
        <v/>
      </c>
      <c r="F58" s="54" t="str">
        <f>IF(Calculation!E58=Calculation!$A$146,Calculation!G58,"")</f>
        <v/>
      </c>
      <c r="G58" s="54" t="str">
        <f>IF(Calculation!E58=Calculation!$A$146,Calculation!H58,"")</f>
        <v/>
      </c>
      <c r="H58" s="55"/>
    </row>
    <row r="59">
      <c r="A59" s="52" t="str">
        <f>IF(Calculation!E59=Calculation!$A$146,Calculation!B59,"")</f>
        <v/>
      </c>
      <c r="B59" s="52" t="str">
        <f>IF(Calculation!E59=Calculation!$A$146,Calculation!I59,"")</f>
        <v/>
      </c>
      <c r="C59" s="52" t="str">
        <f>IF(Calculation!E59=Calculation!$A$146,Calculation!D59,"")</f>
        <v/>
      </c>
      <c r="D59" s="52" t="str">
        <f>IF(Calculation!E59=Calculation!$A$146,Calculation!C59,"")</f>
        <v/>
      </c>
      <c r="E59" s="52" t="str">
        <f>IF(Calculation!E59=Calculation!$A$146,Calculation!F59,"")</f>
        <v/>
      </c>
      <c r="F59" s="54" t="str">
        <f>IF(Calculation!E59=Calculation!$A$146,Calculation!G59,"")</f>
        <v/>
      </c>
      <c r="G59" s="54" t="str">
        <f>IF(Calculation!E59=Calculation!$A$146,Calculation!H59,"")</f>
        <v/>
      </c>
      <c r="H59" s="55"/>
    </row>
    <row r="60">
      <c r="A60" s="52" t="str">
        <f>IF(Calculation!E60=Calculation!$A$146,Calculation!B60,"")</f>
        <v/>
      </c>
      <c r="B60" s="52" t="str">
        <f>IF(Calculation!E60=Calculation!$A$146,Calculation!I60,"")</f>
        <v/>
      </c>
      <c r="C60" s="52" t="str">
        <f>IF(Calculation!E60=Calculation!$A$146,Calculation!D60,"")</f>
        <v/>
      </c>
      <c r="D60" s="52" t="str">
        <f>IF(Calculation!E60=Calculation!$A$146,Calculation!C60,"")</f>
        <v/>
      </c>
      <c r="E60" s="52" t="str">
        <f>IF(Calculation!E60=Calculation!$A$146,Calculation!F60,"")</f>
        <v/>
      </c>
      <c r="F60" s="54" t="str">
        <f>IF(Calculation!E60=Calculation!$A$146,Calculation!G60,"")</f>
        <v/>
      </c>
      <c r="G60" s="54" t="str">
        <f>IF(Calculation!E60=Calculation!$A$146,Calculation!H60,"")</f>
        <v/>
      </c>
      <c r="H60" s="55"/>
    </row>
    <row r="61">
      <c r="A61" s="52" t="str">
        <f>IF(Calculation!E61=Calculation!$A$146,Calculation!B61,"")</f>
        <v/>
      </c>
      <c r="B61" s="52" t="str">
        <f>IF(Calculation!E61=Calculation!$A$146,Calculation!I61,"")</f>
        <v/>
      </c>
      <c r="C61" s="52" t="str">
        <f>IF(Calculation!E61=Calculation!$A$146,Calculation!D61,"")</f>
        <v/>
      </c>
      <c r="D61" s="52" t="str">
        <f>IF(Calculation!E61=Calculation!$A$146,Calculation!C61,"")</f>
        <v/>
      </c>
      <c r="E61" s="52" t="str">
        <f>IF(Calculation!E61=Calculation!$A$146,Calculation!F61,"")</f>
        <v/>
      </c>
      <c r="F61" s="54" t="str">
        <f>IF(Calculation!E61=Calculation!$A$146,Calculation!G61,"")</f>
        <v/>
      </c>
      <c r="G61" s="54" t="str">
        <f>IF(Calculation!E61=Calculation!$A$146,Calculation!H61,"")</f>
        <v/>
      </c>
      <c r="H61" s="55"/>
    </row>
    <row r="62">
      <c r="A62" s="52" t="str">
        <f>IF(Calculation!E62=Calculation!$A$146,Calculation!B62,"")</f>
        <v/>
      </c>
      <c r="B62" s="52" t="str">
        <f>IF(Calculation!E62=Calculation!$A$146,Calculation!I62,"")</f>
        <v/>
      </c>
      <c r="C62" s="52" t="str">
        <f>IF(Calculation!E62=Calculation!$A$146,Calculation!D62,"")</f>
        <v/>
      </c>
      <c r="D62" s="52" t="str">
        <f>IF(Calculation!E62=Calculation!$A$146,Calculation!C62,"")</f>
        <v/>
      </c>
      <c r="E62" s="52" t="str">
        <f>IF(Calculation!E62=Calculation!$A$146,Calculation!F62,"")</f>
        <v/>
      </c>
      <c r="F62" s="54" t="str">
        <f>IF(Calculation!E62=Calculation!$A$146,Calculation!G62,"")</f>
        <v/>
      </c>
      <c r="G62" s="54" t="str">
        <f>IF(Calculation!E62=Calculation!$A$146,Calculation!H62,"")</f>
        <v/>
      </c>
      <c r="H62" s="55"/>
    </row>
    <row r="63">
      <c r="A63" s="52" t="str">
        <f>IF(Calculation!E63=Calculation!$A$146,Calculation!B63,"")</f>
        <v/>
      </c>
      <c r="B63" s="52" t="str">
        <f>IF(Calculation!E63=Calculation!$A$146,Calculation!I63,"")</f>
        <v/>
      </c>
      <c r="C63" s="52" t="str">
        <f>IF(Calculation!E63=Calculation!$A$146,Calculation!D63,"")</f>
        <v/>
      </c>
      <c r="D63" s="52" t="str">
        <f>IF(Calculation!E63=Calculation!$A$146,Calculation!C63,"")</f>
        <v/>
      </c>
      <c r="E63" s="52" t="str">
        <f>IF(Calculation!E63=Calculation!$A$146,Calculation!F63,"")</f>
        <v/>
      </c>
      <c r="F63" s="54" t="str">
        <f>IF(Calculation!E63=Calculation!$A$146,Calculation!G63,"")</f>
        <v/>
      </c>
      <c r="G63" s="54" t="str">
        <f>IF(Calculation!E63=Calculation!$A$146,Calculation!H63,"")</f>
        <v/>
      </c>
      <c r="H63" s="55"/>
    </row>
    <row r="64">
      <c r="A64" s="52" t="str">
        <f>IF(Calculation!E64=Calculation!$A$146,Calculation!B64,"")</f>
        <v/>
      </c>
      <c r="B64" s="52" t="str">
        <f>IF(Calculation!E64=Calculation!$A$146,Calculation!I64,"")</f>
        <v/>
      </c>
      <c r="C64" s="52" t="str">
        <f>IF(Calculation!E64=Calculation!$A$146,Calculation!D64,"")</f>
        <v/>
      </c>
      <c r="D64" s="52" t="str">
        <f>IF(Calculation!E64=Calculation!$A$146,Calculation!C64,"")</f>
        <v/>
      </c>
      <c r="E64" s="52" t="str">
        <f>IF(Calculation!E64=Calculation!$A$146,Calculation!F64,"")</f>
        <v/>
      </c>
      <c r="F64" s="54" t="str">
        <f>IF(Calculation!E64=Calculation!$A$146,Calculation!G64,"")</f>
        <v/>
      </c>
      <c r="G64" s="54" t="str">
        <f>IF(Calculation!E64=Calculation!$A$146,Calculation!H64,"")</f>
        <v/>
      </c>
      <c r="H64" s="55"/>
    </row>
    <row r="65">
      <c r="A65" s="52" t="str">
        <f>IF(Calculation!E65=Calculation!$A$146,Calculation!B65,"")</f>
        <v/>
      </c>
      <c r="B65" s="52" t="str">
        <f>IF(Calculation!E65=Calculation!$A$146,Calculation!I65,"")</f>
        <v/>
      </c>
      <c r="C65" s="52" t="str">
        <f>IF(Calculation!E65=Calculation!$A$146,Calculation!D65,"")</f>
        <v/>
      </c>
      <c r="D65" s="52" t="str">
        <f>IF(Calculation!E65=Calculation!$A$146,Calculation!C65,"")</f>
        <v/>
      </c>
      <c r="E65" s="52" t="str">
        <f>IF(Calculation!E65=Calculation!$A$146,Calculation!F65,"")</f>
        <v/>
      </c>
      <c r="F65" s="54" t="str">
        <f>IF(Calculation!E65=Calculation!$A$146,Calculation!G65,"")</f>
        <v/>
      </c>
      <c r="G65" s="54" t="str">
        <f>IF(Calculation!E65=Calculation!$A$146,Calculation!H65,"")</f>
        <v/>
      </c>
      <c r="H65" s="55"/>
    </row>
    <row r="66">
      <c r="A66" s="52" t="str">
        <f>IF(Calculation!E66=Calculation!$A$146,Calculation!B66,"")</f>
        <v/>
      </c>
      <c r="B66" s="52" t="str">
        <f>IF(Calculation!E66=Calculation!$A$146,Calculation!I66,"")</f>
        <v/>
      </c>
      <c r="C66" s="52" t="str">
        <f>IF(Calculation!E66=Calculation!$A$146,Calculation!D66,"")</f>
        <v/>
      </c>
      <c r="D66" s="52" t="str">
        <f>IF(Calculation!E66=Calculation!$A$146,Calculation!C66,"")</f>
        <v/>
      </c>
      <c r="E66" s="52" t="str">
        <f>IF(Calculation!E66=Calculation!$A$146,Calculation!F66,"")</f>
        <v/>
      </c>
      <c r="F66" s="54" t="str">
        <f>IF(Calculation!E66=Calculation!$A$146,Calculation!G66,"")</f>
        <v/>
      </c>
      <c r="G66" s="54" t="str">
        <f>IF(Calculation!E66=Calculation!$A$146,Calculation!H66,"")</f>
        <v/>
      </c>
      <c r="H66" s="55"/>
    </row>
    <row r="67">
      <c r="A67" s="52" t="str">
        <f>IF(Calculation!E67=Calculation!$A$146,Calculation!B67,"")</f>
        <v/>
      </c>
      <c r="B67" s="52" t="str">
        <f>IF(Calculation!E67=Calculation!$A$146,Calculation!I67,"")</f>
        <v/>
      </c>
      <c r="C67" s="52" t="str">
        <f>IF(Calculation!E67=Calculation!$A$146,Calculation!D67,"")</f>
        <v/>
      </c>
      <c r="D67" s="52" t="str">
        <f>IF(Calculation!E67=Calculation!$A$146,Calculation!C67,"")</f>
        <v/>
      </c>
      <c r="E67" s="52" t="str">
        <f>IF(Calculation!E67=Calculation!$A$146,Calculation!F67,"")</f>
        <v/>
      </c>
      <c r="F67" s="54" t="str">
        <f>IF(Calculation!E67=Calculation!$A$146,Calculation!G67,"")</f>
        <v/>
      </c>
      <c r="G67" s="54" t="str">
        <f>IF(Calculation!E67=Calculation!$A$146,Calculation!H67,"")</f>
        <v/>
      </c>
      <c r="H67" s="55"/>
    </row>
    <row r="68">
      <c r="A68" s="52" t="str">
        <f>IF(Calculation!E68=Calculation!$A$146,Calculation!B68,"")</f>
        <v/>
      </c>
      <c r="B68" s="52" t="str">
        <f>IF(Calculation!E68=Calculation!$A$146,Calculation!I68,"")</f>
        <v/>
      </c>
      <c r="C68" s="52" t="str">
        <f>IF(Calculation!E68=Calculation!$A$146,Calculation!D68,"")</f>
        <v/>
      </c>
      <c r="D68" s="52" t="str">
        <f>IF(Calculation!E68=Calculation!$A$146,Calculation!C68,"")</f>
        <v/>
      </c>
      <c r="E68" s="52" t="str">
        <f>IF(Calculation!E68=Calculation!$A$146,Calculation!F68,"")</f>
        <v/>
      </c>
      <c r="F68" s="54" t="str">
        <f>IF(Calculation!E68=Calculation!$A$146,Calculation!G68,"")</f>
        <v/>
      </c>
      <c r="G68" s="54" t="str">
        <f>IF(Calculation!E68=Calculation!$A$146,Calculation!H68,"")</f>
        <v/>
      </c>
      <c r="H68" s="55"/>
    </row>
    <row r="69">
      <c r="A69" s="52" t="str">
        <f>IF(Calculation!E69=Calculation!$A$146,Calculation!B69,"")</f>
        <v/>
      </c>
      <c r="B69" s="52" t="str">
        <f>IF(Calculation!E69=Calculation!$A$146,Calculation!I69,"")</f>
        <v/>
      </c>
      <c r="C69" s="52" t="str">
        <f>IF(Calculation!E69=Calculation!$A$146,Calculation!D69,"")</f>
        <v/>
      </c>
      <c r="D69" s="52" t="str">
        <f>IF(Calculation!E69=Calculation!$A$146,Calculation!C69,"")</f>
        <v/>
      </c>
      <c r="E69" s="52" t="str">
        <f>IF(Calculation!E69=Calculation!$A$146,Calculation!F69,"")</f>
        <v/>
      </c>
      <c r="F69" s="54" t="str">
        <f>IF(Calculation!E69=Calculation!$A$146,Calculation!G69,"")</f>
        <v/>
      </c>
      <c r="G69" s="54" t="str">
        <f>IF(Calculation!E69=Calculation!$A$146,Calculation!H69,"")</f>
        <v/>
      </c>
      <c r="H69" s="55"/>
    </row>
    <row r="70">
      <c r="A70" s="52" t="str">
        <f>IF(Calculation!E70=Calculation!$A$146,Calculation!B70,"")</f>
        <v/>
      </c>
      <c r="B70" s="52" t="str">
        <f>IF(Calculation!E70=Calculation!$A$146,Calculation!I70,"")</f>
        <v/>
      </c>
      <c r="C70" s="52" t="str">
        <f>IF(Calculation!E70=Calculation!$A$146,Calculation!D70,"")</f>
        <v/>
      </c>
      <c r="D70" s="52" t="str">
        <f>IF(Calculation!E70=Calculation!$A$146,Calculation!C70,"")</f>
        <v/>
      </c>
      <c r="E70" s="52" t="str">
        <f>IF(Calculation!E70=Calculation!$A$146,Calculation!F70,"")</f>
        <v/>
      </c>
      <c r="F70" s="54" t="str">
        <f>IF(Calculation!E70=Calculation!$A$146,Calculation!G70,"")</f>
        <v/>
      </c>
      <c r="G70" s="54" t="str">
        <f>IF(Calculation!E70=Calculation!$A$146,Calculation!H70,"")</f>
        <v/>
      </c>
      <c r="H70" s="55"/>
    </row>
    <row r="71">
      <c r="A71" s="52" t="str">
        <f>IF(Calculation!E71=Calculation!$A$146,Calculation!B71,"")</f>
        <v/>
      </c>
      <c r="B71" s="52" t="str">
        <f>IF(Calculation!E71=Calculation!$A$146,Calculation!I71,"")</f>
        <v/>
      </c>
      <c r="C71" s="52" t="str">
        <f>IF(Calculation!E71=Calculation!$A$146,Calculation!D71,"")</f>
        <v/>
      </c>
      <c r="D71" s="52" t="str">
        <f>IF(Calculation!E71=Calculation!$A$146,Calculation!C71,"")</f>
        <v/>
      </c>
      <c r="E71" s="52" t="str">
        <f>IF(Calculation!E71=Calculation!$A$146,Calculation!F71,"")</f>
        <v/>
      </c>
      <c r="F71" s="54" t="str">
        <f>IF(Calculation!E71=Calculation!$A$146,Calculation!G71,"")</f>
        <v/>
      </c>
      <c r="G71" s="54" t="str">
        <f>IF(Calculation!E71=Calculation!$A$146,Calculation!H71,"")</f>
        <v/>
      </c>
      <c r="H71" s="55"/>
    </row>
    <row r="72">
      <c r="A72" s="52" t="str">
        <f>IF(Calculation!E72=Calculation!$A$146,Calculation!B72,"")</f>
        <v/>
      </c>
      <c r="B72" s="52" t="str">
        <f>IF(Calculation!E72=Calculation!$A$146,Calculation!I72,"")</f>
        <v/>
      </c>
      <c r="C72" s="52" t="str">
        <f>IF(Calculation!E72=Calculation!$A$146,Calculation!D72,"")</f>
        <v/>
      </c>
      <c r="D72" s="52" t="str">
        <f>IF(Calculation!E72=Calculation!$A$146,Calculation!C72,"")</f>
        <v/>
      </c>
      <c r="E72" s="52" t="str">
        <f>IF(Calculation!E72=Calculation!$A$146,Calculation!F72,"")</f>
        <v/>
      </c>
      <c r="F72" s="54" t="str">
        <f>IF(Calculation!E72=Calculation!$A$146,Calculation!G72,"")</f>
        <v/>
      </c>
      <c r="G72" s="54" t="str">
        <f>IF(Calculation!E72=Calculation!$A$146,Calculation!H72,"")</f>
        <v/>
      </c>
      <c r="H72" s="55"/>
    </row>
    <row r="73">
      <c r="A73" s="52" t="str">
        <f>IF(Calculation!E73=Calculation!$A$146,Calculation!B73,"")</f>
        <v/>
      </c>
      <c r="B73" s="52" t="str">
        <f>IF(Calculation!E73=Calculation!$A$146,Calculation!I73,"")</f>
        <v/>
      </c>
      <c r="C73" s="52" t="str">
        <f>IF(Calculation!E73=Calculation!$A$146,Calculation!D73,"")</f>
        <v/>
      </c>
      <c r="D73" s="52" t="str">
        <f>IF(Calculation!E73=Calculation!$A$146,Calculation!C73,"")</f>
        <v/>
      </c>
      <c r="E73" s="52" t="str">
        <f>IF(Calculation!E73=Calculation!$A$146,Calculation!F73,"")</f>
        <v/>
      </c>
      <c r="F73" s="54" t="str">
        <f>IF(Calculation!E73=Calculation!$A$146,Calculation!G73,"")</f>
        <v/>
      </c>
      <c r="G73" s="54" t="str">
        <f>IF(Calculation!E73=Calculation!$A$146,Calculation!H73,"")</f>
        <v/>
      </c>
      <c r="H73" s="55"/>
    </row>
    <row r="74">
      <c r="A74" s="52" t="str">
        <f>IF(Calculation!E74=Calculation!$A$146,Calculation!B74,"")</f>
        <v/>
      </c>
      <c r="B74" s="52" t="str">
        <f>IF(Calculation!E74=Calculation!$A$146,Calculation!I74,"")</f>
        <v/>
      </c>
      <c r="C74" s="52" t="str">
        <f>IF(Calculation!E74=Calculation!$A$146,Calculation!D74,"")</f>
        <v/>
      </c>
      <c r="D74" s="52" t="str">
        <f>IF(Calculation!E74=Calculation!$A$146,Calculation!C74,"")</f>
        <v/>
      </c>
      <c r="E74" s="52" t="str">
        <f>IF(Calculation!E74=Calculation!$A$146,Calculation!F74,"")</f>
        <v/>
      </c>
      <c r="F74" s="54" t="str">
        <f>IF(Calculation!E74=Calculation!$A$146,Calculation!G74,"")</f>
        <v/>
      </c>
      <c r="G74" s="54" t="str">
        <f>IF(Calculation!E74=Calculation!$A$146,Calculation!H74,"")</f>
        <v/>
      </c>
      <c r="H74" s="55"/>
    </row>
    <row r="75">
      <c r="A75" s="52" t="str">
        <f>IF(Calculation!E75=Calculation!$A$146,Calculation!B75,"")</f>
        <v/>
      </c>
      <c r="B75" s="52" t="str">
        <f>IF(Calculation!E75=Calculation!$A$146,Calculation!I75,"")</f>
        <v/>
      </c>
      <c r="C75" s="52" t="str">
        <f>IF(Calculation!E75=Calculation!$A$146,Calculation!D75,"")</f>
        <v/>
      </c>
      <c r="D75" s="52" t="str">
        <f>IF(Calculation!E75=Calculation!$A$146,Calculation!C75,"")</f>
        <v/>
      </c>
      <c r="E75" s="52" t="str">
        <f>IF(Calculation!E75=Calculation!$A$146,Calculation!F75,"")</f>
        <v/>
      </c>
      <c r="F75" s="54" t="str">
        <f>IF(Calculation!E75=Calculation!$A$146,Calculation!G75,"")</f>
        <v/>
      </c>
      <c r="G75" s="54" t="str">
        <f>IF(Calculation!E75=Calculation!$A$146,Calculation!H75,"")</f>
        <v/>
      </c>
      <c r="H75" s="55"/>
    </row>
    <row r="76">
      <c r="A76" s="52" t="str">
        <f>IF(Calculation!E76=Calculation!$A$146,Calculation!B76,"")</f>
        <v/>
      </c>
      <c r="B76" s="52" t="str">
        <f>IF(Calculation!E76=Calculation!$A$146,Calculation!I76,"")</f>
        <v/>
      </c>
      <c r="C76" s="52" t="str">
        <f>IF(Calculation!E76=Calculation!$A$146,Calculation!D76,"")</f>
        <v/>
      </c>
      <c r="D76" s="52" t="str">
        <f>IF(Calculation!E76=Calculation!$A$146,Calculation!C76,"")</f>
        <v/>
      </c>
      <c r="E76" s="52" t="str">
        <f>IF(Calculation!E76=Calculation!$A$146,Calculation!F76,"")</f>
        <v/>
      </c>
      <c r="F76" s="54" t="str">
        <f>IF(Calculation!E76=Calculation!$A$146,Calculation!G76,"")</f>
        <v/>
      </c>
      <c r="G76" s="54" t="str">
        <f>IF(Calculation!E76=Calculation!$A$146,Calculation!H76,"")</f>
        <v/>
      </c>
      <c r="H76" s="55"/>
    </row>
    <row r="77" ht="22.5" customHeight="1">
      <c r="A77" s="52" t="str">
        <f>IF(Calculation!E77=Calculation!$A$146,Calculation!B77,"")</f>
        <v/>
      </c>
      <c r="B77" s="52" t="str">
        <f>IF(Calculation!E77=Calculation!$A$146,Calculation!I77,"")</f>
        <v/>
      </c>
      <c r="C77" s="52" t="str">
        <f>IF(Calculation!E77=Calculation!$A$146,Calculation!D77,"")</f>
        <v/>
      </c>
      <c r="D77" s="52" t="str">
        <f>IF(Calculation!E77=Calculation!$A$146,Calculation!C77,"")</f>
        <v/>
      </c>
      <c r="E77" s="52" t="str">
        <f>IF(Calculation!E77=Calculation!$A$146,Calculation!F77,"")</f>
        <v/>
      </c>
      <c r="F77" s="54" t="str">
        <f>IF(Calculation!E77=Calculation!$A$146,Calculation!G77,"")</f>
        <v/>
      </c>
      <c r="G77" s="54" t="str">
        <f>IF(Calculation!E77=Calculation!$A$146,Calculation!H77,"")</f>
        <v/>
      </c>
      <c r="H77" s="55"/>
    </row>
    <row r="78" ht="21.75" customHeight="1">
      <c r="A78" s="52" t="str">
        <f>IF(Calculation!E78=Calculation!$A$146,Calculation!B78,"")</f>
        <v/>
      </c>
      <c r="B78" s="52" t="str">
        <f>IF(Calculation!E78=Calculation!$A$146,Calculation!I78,"")</f>
        <v/>
      </c>
      <c r="C78" s="52" t="str">
        <f>IF(Calculation!E78=Calculation!$A$146,Calculation!D78,"")</f>
        <v/>
      </c>
      <c r="D78" s="52" t="str">
        <f>IF(Calculation!E78=Calculation!$A$146,Calculation!C78,"")</f>
        <v/>
      </c>
      <c r="E78" s="52" t="str">
        <f>IF(Calculation!E78=Calculation!$A$146,Calculation!F78,"")</f>
        <v/>
      </c>
      <c r="F78" s="54" t="str">
        <f>IF(Calculation!E78=Calculation!$A$146,Calculation!G78,"")</f>
        <v/>
      </c>
      <c r="G78" s="54" t="str">
        <f>IF(Calculation!E78=Calculation!$A$146,Calculation!H78,"")</f>
        <v/>
      </c>
      <c r="H78" s="55"/>
    </row>
    <row r="79" ht="24.0" customHeight="1">
      <c r="A79" s="52" t="str">
        <f>IF(Calculation!E79=Calculation!$A$146,Calculation!B79,"")</f>
        <v/>
      </c>
      <c r="B79" s="52" t="str">
        <f>IF(Calculation!E79=Calculation!$A$146,Calculation!I79,"")</f>
        <v/>
      </c>
      <c r="C79" s="52" t="str">
        <f>IF(Calculation!E79=Calculation!$A$146,Calculation!D79,"")</f>
        <v/>
      </c>
      <c r="D79" s="52" t="str">
        <f>IF(Calculation!E79=Calculation!$A$146,Calculation!C79,"")</f>
        <v/>
      </c>
      <c r="E79" s="52" t="str">
        <f>IF(Calculation!E79=Calculation!$A$146,Calculation!F79,"")</f>
        <v/>
      </c>
      <c r="F79" s="54" t="str">
        <f>IF(Calculation!E79=Calculation!$A$146,Calculation!G79,"")</f>
        <v/>
      </c>
      <c r="G79" s="54" t="str">
        <f>IF(Calculation!E79=Calculation!$A$146,Calculation!H79,"")</f>
        <v/>
      </c>
      <c r="H79" s="55"/>
    </row>
    <row r="80" ht="21.75" customHeight="1">
      <c r="A80" s="52" t="str">
        <f>IF(Calculation!E80=Calculation!$A$146,Calculation!B80,"")</f>
        <v/>
      </c>
      <c r="B80" s="52" t="str">
        <f>IF(Calculation!E80=Calculation!$A$146,Calculation!I80,"")</f>
        <v/>
      </c>
      <c r="C80" s="52" t="str">
        <f>IF(Calculation!E80=Calculation!$A$146,Calculation!D80,"")</f>
        <v/>
      </c>
      <c r="D80" s="52" t="str">
        <f>IF(Calculation!E80=Calculation!$A$146,Calculation!C80,"")</f>
        <v/>
      </c>
      <c r="E80" s="52" t="str">
        <f>IF(Calculation!E80=Calculation!$A$146,Calculation!F80,"")</f>
        <v/>
      </c>
      <c r="F80" s="54" t="str">
        <f>IF(Calculation!E80=Calculation!$A$146,Calculation!G80,"")</f>
        <v/>
      </c>
      <c r="G80" s="54" t="str">
        <f>IF(Calculation!E80=Calculation!$A$146,Calculation!H80,"")</f>
        <v/>
      </c>
      <c r="H80" s="55"/>
    </row>
    <row r="81" ht="20.25" customHeight="1">
      <c r="A81" s="52" t="str">
        <f>IF(Calculation!E81=Calculation!$A$146,Calculation!B81,"")</f>
        <v/>
      </c>
      <c r="B81" s="52" t="str">
        <f>IF(Calculation!E81=Calculation!$A$146,Calculation!I81,"")</f>
        <v/>
      </c>
      <c r="C81" s="52" t="str">
        <f>IF(Calculation!E81=Calculation!$A$146,Calculation!D81,"")</f>
        <v/>
      </c>
      <c r="D81" s="52" t="str">
        <f>IF(Calculation!E81=Calculation!$A$146,Calculation!C81,"")</f>
        <v/>
      </c>
      <c r="E81" s="52" t="str">
        <f>IF(Calculation!E81=Calculation!$A$146,Calculation!F81,"")</f>
        <v/>
      </c>
      <c r="F81" s="54" t="str">
        <f>IF(Calculation!E81=Calculation!$A$146,Calculation!G81,"")</f>
        <v/>
      </c>
      <c r="G81" s="54" t="str">
        <f>IF(Calculation!E81=Calculation!$A$146,Calculation!H81,"")</f>
        <v/>
      </c>
      <c r="H81" s="55"/>
    </row>
    <row r="82">
      <c r="A82" s="52" t="str">
        <f>IF(Calculation!E82=Calculation!$A$146,Calculation!B82,"")</f>
        <v/>
      </c>
      <c r="B82" s="52" t="str">
        <f>IF(Calculation!E82=Calculation!$A$146,Calculation!I82,"")</f>
        <v/>
      </c>
      <c r="C82" s="52" t="str">
        <f>IF(Calculation!E82=Calculation!$A$146,Calculation!D82,"")</f>
        <v/>
      </c>
      <c r="D82" s="52" t="str">
        <f>IF(Calculation!E82=Calculation!$A$146,Calculation!C82,"")</f>
        <v/>
      </c>
      <c r="E82" s="52" t="str">
        <f>IF(Calculation!E82=Calculation!$A$146,Calculation!F82,"")</f>
        <v/>
      </c>
      <c r="F82" s="54" t="str">
        <f>IF(Calculation!E82=Calculation!$A$146,Calculation!G82,"")</f>
        <v/>
      </c>
      <c r="G82" s="54" t="str">
        <f>IF(Calculation!E82=Calculation!$A$146,Calculation!H82,"")</f>
        <v/>
      </c>
      <c r="H82" s="55"/>
    </row>
    <row r="83">
      <c r="A83" s="52" t="str">
        <f>IF(Calculation!E83=Calculation!$A$146,Calculation!B83,"")</f>
        <v/>
      </c>
      <c r="B83" s="52" t="str">
        <f>IF(Calculation!E83=Calculation!$A$146,Calculation!I83,"")</f>
        <v/>
      </c>
      <c r="C83" s="52" t="str">
        <f>IF(Calculation!E83=Calculation!$A$146,Calculation!D83,"")</f>
        <v/>
      </c>
      <c r="D83" s="52" t="str">
        <f>IF(Calculation!E83=Calculation!$A$146,Calculation!C83,"")</f>
        <v/>
      </c>
      <c r="E83" s="52" t="str">
        <f>IF(Calculation!E83=Calculation!$A$146,Calculation!F83,"")</f>
        <v/>
      </c>
      <c r="F83" s="54" t="str">
        <f>IF(Calculation!E83=Calculation!$A$146,Calculation!G83,"")</f>
        <v/>
      </c>
      <c r="G83" s="54" t="str">
        <f>IF(Calculation!E83=Calculation!$A$146,Calculation!H83,"")</f>
        <v/>
      </c>
      <c r="H83" s="55"/>
    </row>
    <row r="84">
      <c r="A84" s="52" t="str">
        <f>IF(Calculation!E84=Calculation!$A$146,Calculation!B84,"")</f>
        <v/>
      </c>
      <c r="B84" s="52" t="str">
        <f>IF(Calculation!E84=Calculation!$A$146,Calculation!I84,"")</f>
        <v/>
      </c>
      <c r="C84" s="52" t="str">
        <f>IF(Calculation!E84=Calculation!$A$146,Calculation!D84,"")</f>
        <v/>
      </c>
      <c r="D84" s="52" t="str">
        <f>IF(Calculation!E84=Calculation!$A$146,Calculation!C84,"")</f>
        <v/>
      </c>
      <c r="E84" s="52" t="str">
        <f>IF(Calculation!E84=Calculation!$A$146,Calculation!F84,"")</f>
        <v/>
      </c>
      <c r="F84" s="54" t="str">
        <f>IF(Calculation!E84=Calculation!$A$146,Calculation!G84,"")</f>
        <v/>
      </c>
      <c r="G84" s="54" t="str">
        <f>IF(Calculation!E84=Calculation!$A$146,Calculation!H84,"")</f>
        <v/>
      </c>
      <c r="H84" s="55"/>
    </row>
    <row r="85">
      <c r="A85" s="52" t="str">
        <f>IF(Calculation!E85=Calculation!$A$146,Calculation!B85,"")</f>
        <v/>
      </c>
      <c r="B85" s="52" t="str">
        <f>IF(Calculation!E85=Calculation!$A$146,Calculation!I85,"")</f>
        <v/>
      </c>
      <c r="C85" s="52" t="str">
        <f>IF(Calculation!E85=Calculation!$A$146,Calculation!D85,"")</f>
        <v/>
      </c>
      <c r="D85" s="52" t="str">
        <f>IF(Calculation!E85=Calculation!$A$146,Calculation!C85,"")</f>
        <v/>
      </c>
      <c r="E85" s="52" t="str">
        <f>IF(Calculation!E85=Calculation!$A$146,Calculation!F85,"")</f>
        <v/>
      </c>
      <c r="F85" s="54" t="str">
        <f>IF(Calculation!E85=Calculation!$A$146,Calculation!G85,"")</f>
        <v/>
      </c>
      <c r="G85" s="54" t="str">
        <f>IF(Calculation!E85=Calculation!$A$146,Calculation!H85,"")</f>
        <v/>
      </c>
      <c r="H85" s="55"/>
    </row>
    <row r="86">
      <c r="A86" s="52" t="str">
        <f>IF(Calculation!E86=Calculation!$A$146,Calculation!B86,"")</f>
        <v/>
      </c>
      <c r="B86" s="52" t="str">
        <f>IF(Calculation!E86=Calculation!$A$146,Calculation!I86,"")</f>
        <v/>
      </c>
      <c r="C86" s="52" t="str">
        <f>IF(Calculation!E86=Calculation!$A$146,Calculation!D86,"")</f>
        <v/>
      </c>
      <c r="D86" s="52" t="str">
        <f>IF(Calculation!E86=Calculation!$A$146,Calculation!C86,"")</f>
        <v/>
      </c>
      <c r="E86" s="52" t="str">
        <f>IF(Calculation!E86=Calculation!$A$146,Calculation!F86,"")</f>
        <v/>
      </c>
      <c r="F86" s="54" t="str">
        <f>IF(Calculation!E86=Calculation!$A$146,Calculation!G86,"")</f>
        <v/>
      </c>
      <c r="G86" s="54" t="str">
        <f>IF(Calculation!E86=Calculation!$A$146,Calculation!H86,"")</f>
        <v/>
      </c>
      <c r="H86" s="55"/>
    </row>
    <row r="87">
      <c r="A87" s="52" t="str">
        <f>IF(Calculation!E87=Calculation!$A$146,Calculation!B87,"")</f>
        <v/>
      </c>
      <c r="B87" s="52" t="str">
        <f>IF(Calculation!E87=Calculation!$A$146,Calculation!I87,"")</f>
        <v/>
      </c>
      <c r="C87" s="52" t="str">
        <f>IF(Calculation!E87=Calculation!$A$146,Calculation!D87,"")</f>
        <v/>
      </c>
      <c r="D87" s="52" t="str">
        <f>IF(Calculation!E87=Calculation!$A$146,Calculation!C87,"")</f>
        <v/>
      </c>
      <c r="E87" s="52" t="str">
        <f>IF(Calculation!E87=Calculation!$A$146,Calculation!F87,"")</f>
        <v/>
      </c>
      <c r="F87" s="54" t="str">
        <f>IF(Calculation!E87=Calculation!$A$146,Calculation!G87,"")</f>
        <v/>
      </c>
      <c r="G87" s="54" t="str">
        <f>IF(Calculation!E87=Calculation!$A$146,Calculation!H87,"")</f>
        <v/>
      </c>
      <c r="H87" s="55"/>
    </row>
    <row r="88">
      <c r="A88" s="52" t="str">
        <f>IF(Calculation!E88=Calculation!$A$146,Calculation!B88,"")</f>
        <v/>
      </c>
      <c r="B88" s="52" t="str">
        <f>IF(Calculation!E88=Calculation!$A$146,Calculation!I88,"")</f>
        <v/>
      </c>
      <c r="C88" s="52" t="str">
        <f>IF(Calculation!E88=Calculation!$A$146,Calculation!D88,"")</f>
        <v/>
      </c>
      <c r="D88" s="52" t="str">
        <f>IF(Calculation!E88=Calculation!$A$146,Calculation!C88,"")</f>
        <v/>
      </c>
      <c r="E88" s="52" t="str">
        <f>IF(Calculation!E88=Calculation!$A$146,Calculation!F88,"")</f>
        <v/>
      </c>
      <c r="F88" s="54" t="str">
        <f>IF(Calculation!E88=Calculation!$A$146,Calculation!G88,"")</f>
        <v/>
      </c>
      <c r="G88" s="54" t="str">
        <f>IF(Calculation!E88=Calculation!$A$146,Calculation!H88,"")</f>
        <v/>
      </c>
      <c r="H88" s="55"/>
    </row>
    <row r="89">
      <c r="A89" s="52" t="str">
        <f>IF(Calculation!E89=Calculation!$A$146,Calculation!B89,"")</f>
        <v/>
      </c>
      <c r="B89" s="52" t="str">
        <f>IF(Calculation!E89=Calculation!$A$146,Calculation!I89,"")</f>
        <v/>
      </c>
      <c r="C89" s="52" t="str">
        <f>IF(Calculation!E89=Calculation!$A$146,Calculation!D89,"")</f>
        <v/>
      </c>
      <c r="D89" s="52" t="str">
        <f>IF(Calculation!E89=Calculation!$A$146,Calculation!C89,"")</f>
        <v/>
      </c>
      <c r="E89" s="52" t="str">
        <f>IF(Calculation!E89=Calculation!$A$146,Calculation!F89,"")</f>
        <v/>
      </c>
      <c r="F89" s="54" t="str">
        <f>IF(Calculation!E89=Calculation!$A$146,Calculation!G89,"")</f>
        <v/>
      </c>
      <c r="G89" s="54" t="str">
        <f>IF(Calculation!E89=Calculation!$A$146,Calculation!H89,"")</f>
        <v/>
      </c>
      <c r="H89" s="55"/>
    </row>
    <row r="90">
      <c r="A90" s="52" t="str">
        <f>IF(Calculation!E90=Calculation!$A$146,Calculation!B90,"")</f>
        <v/>
      </c>
      <c r="B90" s="52" t="str">
        <f>IF(Calculation!E90=Calculation!$A$146,Calculation!I90,"")</f>
        <v/>
      </c>
      <c r="C90" s="52" t="str">
        <f>IF(Calculation!E90=Calculation!$A$146,Calculation!D90,"")</f>
        <v/>
      </c>
      <c r="D90" s="52" t="str">
        <f>IF(Calculation!E90=Calculation!$A$146,Calculation!C90,"")</f>
        <v/>
      </c>
      <c r="E90" s="52" t="str">
        <f>IF(Calculation!E90=Calculation!$A$146,Calculation!F90,"")</f>
        <v/>
      </c>
      <c r="F90" s="54" t="str">
        <f>IF(Calculation!E90=Calculation!$A$146,Calculation!G90,"")</f>
        <v/>
      </c>
      <c r="G90" s="54" t="str">
        <f>IF(Calculation!E90=Calculation!$A$146,Calculation!H90,"")</f>
        <v/>
      </c>
      <c r="H90" s="55"/>
    </row>
    <row r="91">
      <c r="A91" s="52" t="str">
        <f>IF(Calculation!E91=Calculation!$A$146,Calculation!B91,"")</f>
        <v/>
      </c>
      <c r="B91" s="52" t="str">
        <f>IF(Calculation!E91=Calculation!$A$146,Calculation!I91,"")</f>
        <v/>
      </c>
      <c r="C91" s="52" t="str">
        <f>IF(Calculation!E91=Calculation!$A$146,Calculation!D91,"")</f>
        <v/>
      </c>
      <c r="D91" s="52" t="str">
        <f>IF(Calculation!E91=Calculation!$A$146,Calculation!C91,"")</f>
        <v/>
      </c>
      <c r="E91" s="52" t="str">
        <f>IF(Calculation!E91=Calculation!$A$146,Calculation!F91,"")</f>
        <v/>
      </c>
      <c r="F91" s="54" t="str">
        <f>IF(Calculation!E91=Calculation!$A$146,Calculation!G91,"")</f>
        <v/>
      </c>
      <c r="G91" s="54" t="str">
        <f>IF(Calculation!E91=Calculation!$A$146,Calculation!H91,"")</f>
        <v/>
      </c>
      <c r="H91" s="55"/>
    </row>
    <row r="92">
      <c r="A92" s="52" t="str">
        <f>IF(Calculation!E92=Calculation!$A$146,Calculation!B92,"")</f>
        <v/>
      </c>
      <c r="B92" s="52" t="str">
        <f>IF(Calculation!E92=Calculation!$A$146,Calculation!I92,"")</f>
        <v/>
      </c>
      <c r="C92" s="52" t="str">
        <f>IF(Calculation!E92=Calculation!$A$146,Calculation!D92,"")</f>
        <v/>
      </c>
      <c r="D92" s="52" t="str">
        <f>IF(Calculation!E92=Calculation!$A$146,Calculation!C92,"")</f>
        <v/>
      </c>
      <c r="E92" s="52" t="str">
        <f>IF(Calculation!E92=Calculation!$A$146,Calculation!F92,"")</f>
        <v/>
      </c>
      <c r="F92" s="54" t="str">
        <f>IF(Calculation!E92=Calculation!$A$146,Calculation!G92,"")</f>
        <v/>
      </c>
      <c r="G92" s="54" t="str">
        <f>IF(Calculation!E92=Calculation!$A$146,Calculation!H92,"")</f>
        <v/>
      </c>
      <c r="H92" s="55"/>
    </row>
    <row r="93">
      <c r="A93" s="52" t="str">
        <f>IF(Calculation!E93=Calculation!$A$146,Calculation!B93,"")</f>
        <v/>
      </c>
      <c r="B93" s="52" t="str">
        <f>IF(Calculation!E93=Calculation!$A$146,Calculation!I93,"")</f>
        <v/>
      </c>
      <c r="C93" s="52" t="str">
        <f>IF(Calculation!E93=Calculation!$A$146,Calculation!D93,"")</f>
        <v/>
      </c>
      <c r="D93" s="52" t="str">
        <f>IF(Calculation!E93=Calculation!$A$146,Calculation!C93,"")</f>
        <v/>
      </c>
      <c r="E93" s="52" t="str">
        <f>IF(Calculation!E93=Calculation!$A$146,Calculation!F93,"")</f>
        <v/>
      </c>
      <c r="F93" s="54" t="str">
        <f>IF(Calculation!E93=Calculation!$A$146,Calculation!G93,"")</f>
        <v/>
      </c>
      <c r="G93" s="54" t="str">
        <f>IF(Calculation!E93=Calculation!$A$146,Calculation!H93,"")</f>
        <v/>
      </c>
      <c r="H93" s="55"/>
    </row>
    <row r="94">
      <c r="A94" s="52" t="str">
        <f>IF(Calculation!E94=Calculation!$A$146,Calculation!B94,"")</f>
        <v/>
      </c>
      <c r="B94" s="52" t="str">
        <f>IF(Calculation!E94=Calculation!$A$146,Calculation!I94,"")</f>
        <v/>
      </c>
      <c r="C94" s="52" t="str">
        <f>IF(Calculation!E94=Calculation!$A$146,Calculation!D94,"")</f>
        <v/>
      </c>
      <c r="D94" s="52" t="str">
        <f>IF(Calculation!E94=Calculation!$A$146,Calculation!C94,"")</f>
        <v/>
      </c>
      <c r="E94" s="52" t="str">
        <f>IF(Calculation!E94=Calculation!$A$146,Calculation!F94,"")</f>
        <v/>
      </c>
      <c r="F94" s="54" t="str">
        <f>IF(Calculation!E94=Calculation!$A$146,Calculation!G94,"")</f>
        <v/>
      </c>
      <c r="G94" s="54" t="str">
        <f>IF(Calculation!E94=Calculation!$A$146,Calculation!H94,"")</f>
        <v/>
      </c>
      <c r="H94" s="55"/>
    </row>
    <row r="95">
      <c r="A95" s="52" t="str">
        <f>IF(Calculation!E95=Calculation!$A$146,Calculation!B95,"")</f>
        <v/>
      </c>
      <c r="B95" s="52" t="str">
        <f>IF(Calculation!E95=Calculation!$A$146,Calculation!I95,"")</f>
        <v/>
      </c>
      <c r="C95" s="52" t="str">
        <f>IF(Calculation!E95=Calculation!$A$146,Calculation!D95,"")</f>
        <v/>
      </c>
      <c r="D95" s="52" t="str">
        <f>IF(Calculation!E95=Calculation!$A$146,Calculation!C95,"")</f>
        <v/>
      </c>
      <c r="E95" s="52" t="str">
        <f>IF(Calculation!E95=Calculation!$A$146,Calculation!F95,"")</f>
        <v/>
      </c>
      <c r="F95" s="54" t="str">
        <f>IF(Calculation!E95=Calculation!$A$146,Calculation!G95,"")</f>
        <v/>
      </c>
      <c r="G95" s="54" t="str">
        <f>IF(Calculation!E95=Calculation!$A$146,Calculation!H95,"")</f>
        <v/>
      </c>
      <c r="H95" s="55"/>
    </row>
    <row r="96">
      <c r="A96" s="52" t="str">
        <f>IF(Calculation!E96=Calculation!$A$146,Calculation!B96,"")</f>
        <v/>
      </c>
      <c r="B96" s="52" t="str">
        <f>IF(Calculation!E96=Calculation!$A$146,Calculation!I96,"")</f>
        <v/>
      </c>
      <c r="C96" s="52" t="str">
        <f>IF(Calculation!E96=Calculation!$A$146,Calculation!D96,"")</f>
        <v/>
      </c>
      <c r="D96" s="52" t="str">
        <f>IF(Calculation!E96=Calculation!$A$146,Calculation!C96,"")</f>
        <v/>
      </c>
      <c r="E96" s="52" t="str">
        <f>IF(Calculation!E96=Calculation!$A$146,Calculation!F96,"")</f>
        <v/>
      </c>
      <c r="F96" s="54" t="str">
        <f>IF(Calculation!E96=Calculation!$A$146,Calculation!G96,"")</f>
        <v/>
      </c>
      <c r="G96" s="54" t="str">
        <f>IF(Calculation!E96=Calculation!$A$146,Calculation!H96,"")</f>
        <v/>
      </c>
      <c r="H96" s="55"/>
    </row>
    <row r="97">
      <c r="A97" s="52" t="str">
        <f>IF(Calculation!E97=Calculation!$A$146,Calculation!B97,"")</f>
        <v/>
      </c>
      <c r="B97" s="52" t="str">
        <f>IF(Calculation!E97=Calculation!$A$146,Calculation!I97,"")</f>
        <v/>
      </c>
      <c r="C97" s="52" t="str">
        <f>IF(Calculation!E97=Calculation!$A$146,Calculation!D97,"")</f>
        <v/>
      </c>
      <c r="D97" s="52" t="str">
        <f>IF(Calculation!E97=Calculation!$A$146,Calculation!C97,"")</f>
        <v/>
      </c>
      <c r="E97" s="52" t="str">
        <f>IF(Calculation!E97=Calculation!$A$146,Calculation!F97,"")</f>
        <v/>
      </c>
      <c r="F97" s="54" t="str">
        <f>IF(Calculation!E97=Calculation!$A$146,Calculation!G97,"")</f>
        <v/>
      </c>
      <c r="G97" s="54" t="str">
        <f>IF(Calculation!E97=Calculation!$A$146,Calculation!H97,"")</f>
        <v/>
      </c>
      <c r="H97" s="55"/>
    </row>
    <row r="98">
      <c r="A98" s="52" t="str">
        <f>IF(Calculation!E98=Calculation!$A$146,Calculation!B98,"")</f>
        <v/>
      </c>
      <c r="B98" s="52" t="str">
        <f>IF(Calculation!E98=Calculation!$A$146,Calculation!I98,"")</f>
        <v/>
      </c>
      <c r="C98" s="52" t="str">
        <f>IF(Calculation!E98=Calculation!$A$146,Calculation!D98,"")</f>
        <v/>
      </c>
      <c r="D98" s="52" t="str">
        <f>IF(Calculation!E98=Calculation!$A$146,Calculation!C98,"")</f>
        <v/>
      </c>
      <c r="E98" s="52" t="str">
        <f>IF(Calculation!E98=Calculation!$A$146,Calculation!F98,"")</f>
        <v/>
      </c>
      <c r="F98" s="54" t="str">
        <f>IF(Calculation!E98=Calculation!$A$146,Calculation!G98,"")</f>
        <v/>
      </c>
      <c r="G98" s="54" t="str">
        <f>IF(Calculation!E98=Calculation!$A$146,Calculation!H98,"")</f>
        <v/>
      </c>
      <c r="H98" s="55"/>
    </row>
    <row r="99">
      <c r="A99" s="52" t="str">
        <f>IF(Calculation!E99=Calculation!$A$146,Calculation!B99,"")</f>
        <v/>
      </c>
      <c r="B99" s="52" t="str">
        <f>IF(Calculation!E99=Calculation!$A$146,Calculation!I99,"")</f>
        <v/>
      </c>
      <c r="C99" s="52" t="str">
        <f>IF(Calculation!E99=Calculation!$A$146,Calculation!D99,"")</f>
        <v/>
      </c>
      <c r="D99" s="52" t="str">
        <f>IF(Calculation!E99=Calculation!$A$146,Calculation!C99,"")</f>
        <v/>
      </c>
      <c r="E99" s="52" t="str">
        <f>IF(Calculation!E99=Calculation!$A$146,Calculation!F99,"")</f>
        <v/>
      </c>
      <c r="F99" s="54" t="str">
        <f>IF(Calculation!E99=Calculation!$A$146,Calculation!G99,"")</f>
        <v/>
      </c>
      <c r="G99" s="54" t="str">
        <f>IF(Calculation!E99=Calculation!$A$146,Calculation!H99,"")</f>
        <v/>
      </c>
      <c r="H99" s="55"/>
    </row>
    <row r="100">
      <c r="A100" s="52" t="str">
        <f>IF(Calculation!E100=Calculation!$A$146,Calculation!B100,"")</f>
        <v/>
      </c>
      <c r="B100" s="52" t="str">
        <f>IF(Calculation!E100=Calculation!$A$146,Calculation!I100,"")</f>
        <v/>
      </c>
      <c r="C100" s="52" t="str">
        <f>IF(Calculation!E100=Calculation!$A$146,Calculation!D100,"")</f>
        <v/>
      </c>
      <c r="D100" s="52" t="str">
        <f>IF(Calculation!E100=Calculation!$A$146,Calculation!C100,"")</f>
        <v/>
      </c>
      <c r="E100" s="52" t="str">
        <f>IF(Calculation!E100=Calculation!$A$146,Calculation!F100,"")</f>
        <v/>
      </c>
      <c r="F100" s="54" t="str">
        <f>IF(Calculation!E100=Calculation!$A$146,Calculation!G100,"")</f>
        <v/>
      </c>
      <c r="G100" s="54" t="str">
        <f>IF(Calculation!E100=Calculation!$A$146,Calculation!H100,"")</f>
        <v/>
      </c>
      <c r="H100" s="55"/>
    </row>
    <row r="101">
      <c r="A101" s="52" t="str">
        <f>IF(Calculation!E101=Calculation!$A$146,Calculation!B101,"")</f>
        <v/>
      </c>
      <c r="B101" s="52" t="str">
        <f>IF(Calculation!E101=Calculation!$A$146,Calculation!I101,"")</f>
        <v/>
      </c>
      <c r="C101" s="52" t="str">
        <f>IF(Calculation!E101=Calculation!$A$146,Calculation!D101,"")</f>
        <v/>
      </c>
      <c r="D101" s="52" t="str">
        <f>IF(Calculation!E101=Calculation!$A$146,Calculation!C101,"")</f>
        <v/>
      </c>
      <c r="E101" s="52" t="str">
        <f>IF(Calculation!E101=Calculation!$A$146,Calculation!F101,"")</f>
        <v/>
      </c>
      <c r="F101" s="54" t="str">
        <f>IF(Calculation!E101=Calculation!$A$146,Calculation!G101,"")</f>
        <v/>
      </c>
      <c r="G101" s="54" t="str">
        <f>IF(Calculation!E101=Calculation!$A$146,Calculation!H101,"")</f>
        <v/>
      </c>
      <c r="H101" s="55"/>
    </row>
    <row r="102">
      <c r="A102" s="52" t="str">
        <f>IF(Calculation!E102=Calculation!$A$146,Calculation!B102,"")</f>
        <v/>
      </c>
      <c r="B102" s="52" t="str">
        <f>IF(Calculation!E102=Calculation!$A$146,Calculation!I102,"")</f>
        <v/>
      </c>
      <c r="C102" s="52" t="str">
        <f>IF(Calculation!E102=Calculation!$A$146,Calculation!D102,"")</f>
        <v/>
      </c>
      <c r="D102" s="52" t="str">
        <f>IF(Calculation!E102=Calculation!$A$146,Calculation!C102,"")</f>
        <v/>
      </c>
      <c r="E102" s="52" t="str">
        <f>IF(Calculation!E102=Calculation!$A$146,Calculation!F102,"")</f>
        <v/>
      </c>
      <c r="F102" s="54" t="str">
        <f>IF(Calculation!E102=Calculation!$A$146,Calculation!G102,"")</f>
        <v/>
      </c>
      <c r="G102" s="54" t="str">
        <f>IF(Calculation!E102=Calculation!$A$146,Calculation!H102,"")</f>
        <v/>
      </c>
      <c r="H102" s="55"/>
    </row>
    <row r="103">
      <c r="A103" s="52" t="str">
        <f>IF(Calculation!E103=Calculation!$A$146,Calculation!B103,"")</f>
        <v/>
      </c>
      <c r="B103" s="52" t="str">
        <f>IF(Calculation!E103=Calculation!$A$146,Calculation!I103,"")</f>
        <v/>
      </c>
      <c r="C103" s="52" t="str">
        <f>IF(Calculation!E103=Calculation!$A$146,Calculation!D103,"")</f>
        <v/>
      </c>
      <c r="D103" s="52" t="str">
        <f>IF(Calculation!E103=Calculation!$A$146,Calculation!C103,"")</f>
        <v/>
      </c>
      <c r="E103" s="52" t="str">
        <f>IF(Calculation!E103=Calculation!$A$146,Calculation!F103,"")</f>
        <v/>
      </c>
      <c r="F103" s="54" t="str">
        <f>IF(Calculation!E103=Calculation!$A$146,Calculation!G103,"")</f>
        <v/>
      </c>
      <c r="G103" s="54" t="str">
        <f>IF(Calculation!E103=Calculation!$A$146,Calculation!H103,"")</f>
        <v/>
      </c>
      <c r="H103" s="55"/>
    </row>
    <row r="104">
      <c r="A104" s="52" t="str">
        <f>IF(Calculation!E104=Calculation!$A$146,Calculation!B104,"")</f>
        <v/>
      </c>
      <c r="B104" s="52" t="str">
        <f>IF(Calculation!E104=Calculation!$A$146,Calculation!I104,"")</f>
        <v/>
      </c>
      <c r="C104" s="52" t="str">
        <f>IF(Calculation!E104=Calculation!$A$146,Calculation!D104,"")</f>
        <v/>
      </c>
      <c r="D104" s="52" t="str">
        <f>IF(Calculation!E104=Calculation!$A$146,Calculation!C104,"")</f>
        <v/>
      </c>
      <c r="E104" s="52" t="str">
        <f>IF(Calculation!E104=Calculation!$A$146,Calculation!F104,"")</f>
        <v/>
      </c>
      <c r="F104" s="54" t="str">
        <f>IF(Calculation!E104=Calculation!$A$146,Calculation!G104,"")</f>
        <v/>
      </c>
      <c r="G104" s="54" t="str">
        <f>IF(Calculation!E104=Calculation!$A$146,Calculation!H104,"")</f>
        <v/>
      </c>
      <c r="H104" s="55"/>
    </row>
    <row r="105">
      <c r="A105" s="52" t="str">
        <f>IF(Calculation!E105=Calculation!$A$146,Calculation!B105,"")</f>
        <v/>
      </c>
      <c r="B105" s="52" t="str">
        <f>IF(Calculation!E105=Calculation!$A$146,Calculation!I105,"")</f>
        <v/>
      </c>
      <c r="C105" s="52" t="str">
        <f>IF(Calculation!E105=Calculation!$A$146,Calculation!D105,"")</f>
        <v/>
      </c>
      <c r="D105" s="52" t="str">
        <f>IF(Calculation!E105=Calculation!$A$146,Calculation!C105,"")</f>
        <v/>
      </c>
      <c r="E105" s="52" t="str">
        <f>IF(Calculation!E105=Calculation!$A$146,Calculation!F105,"")</f>
        <v/>
      </c>
      <c r="F105" s="54" t="str">
        <f>IF(Calculation!E105=Calculation!$A$146,Calculation!G105,"")</f>
        <v/>
      </c>
      <c r="G105" s="54" t="str">
        <f>IF(Calculation!E105=Calculation!$A$146,Calculation!H105,"")</f>
        <v/>
      </c>
      <c r="H105" s="55"/>
    </row>
    <row r="106">
      <c r="A106" s="52" t="str">
        <f>IF(Calculation!E106=Calculation!$A$146,Calculation!B106,"")</f>
        <v/>
      </c>
      <c r="B106" s="52" t="str">
        <f>IF(Calculation!E106=Calculation!$A$146,Calculation!I106,"")</f>
        <v/>
      </c>
      <c r="C106" s="52" t="str">
        <f>IF(Calculation!E106=Calculation!$A$146,Calculation!D106,"")</f>
        <v/>
      </c>
      <c r="D106" s="52" t="str">
        <f>IF(Calculation!E106=Calculation!$A$146,Calculation!C106,"")</f>
        <v/>
      </c>
      <c r="E106" s="52" t="str">
        <f>IF(Calculation!E106=Calculation!$A$146,Calculation!F106,"")</f>
        <v/>
      </c>
      <c r="F106" s="54" t="str">
        <f>IF(Calculation!E106=Calculation!$A$146,Calculation!G106,"")</f>
        <v/>
      </c>
      <c r="G106" s="54" t="str">
        <f>IF(Calculation!E106=Calculation!$A$146,Calculation!H106,"")</f>
        <v/>
      </c>
      <c r="H106" s="55"/>
    </row>
    <row r="107">
      <c r="A107" s="52" t="str">
        <f>IF(Calculation!E107=Calculation!$A$146,Calculation!B107,"")</f>
        <v/>
      </c>
      <c r="B107" s="52" t="str">
        <f>IF(Calculation!E107=Calculation!$A$146,Calculation!I107,"")</f>
        <v/>
      </c>
      <c r="C107" s="52" t="str">
        <f>IF(Calculation!E107=Calculation!$A$146,Calculation!D107,"")</f>
        <v/>
      </c>
      <c r="D107" s="52" t="str">
        <f>IF(Calculation!E107=Calculation!$A$146,Calculation!C107,"")</f>
        <v/>
      </c>
      <c r="E107" s="52" t="str">
        <f>IF(Calculation!E107=Calculation!$A$146,Calculation!F107,"")</f>
        <v/>
      </c>
      <c r="F107" s="54" t="str">
        <f>IF(Calculation!E107=Calculation!$A$146,Calculation!G107,"")</f>
        <v/>
      </c>
      <c r="G107" s="54" t="str">
        <f>IF(Calculation!E107=Calculation!$A$146,Calculation!H107,"")</f>
        <v/>
      </c>
      <c r="H107" s="55"/>
    </row>
    <row r="108">
      <c r="A108" s="52" t="str">
        <f>IF(Calculation!E108=Calculation!$A$146,Calculation!B108,"")</f>
        <v/>
      </c>
      <c r="B108" s="52" t="str">
        <f>IF(Calculation!E108=Calculation!$A$146,Calculation!I108,"")</f>
        <v/>
      </c>
      <c r="C108" s="52" t="str">
        <f>IF(Calculation!E108=Calculation!$A$146,Calculation!D108,"")</f>
        <v/>
      </c>
      <c r="D108" s="52" t="str">
        <f>IF(Calculation!E108=Calculation!$A$146,Calculation!C108,"")</f>
        <v/>
      </c>
      <c r="E108" s="52" t="str">
        <f>IF(Calculation!E108=Calculation!$A$146,Calculation!F108,"")</f>
        <v/>
      </c>
      <c r="F108" s="54" t="str">
        <f>IF(Calculation!E108=Calculation!$A$146,Calculation!G108,"")</f>
        <v/>
      </c>
      <c r="G108" s="54" t="str">
        <f>IF(Calculation!E108=Calculation!$A$146,Calculation!H108,"")</f>
        <v/>
      </c>
      <c r="H108" s="55"/>
    </row>
    <row r="109">
      <c r="A109" s="52" t="str">
        <f>IF(Calculation!E109=Calculation!$A$146,Calculation!B109,"")</f>
        <v/>
      </c>
      <c r="B109" s="52" t="str">
        <f>IF(Calculation!E109=Calculation!$A$146,Calculation!I109,"")</f>
        <v/>
      </c>
      <c r="C109" s="52" t="str">
        <f>IF(Calculation!E109=Calculation!$A$146,Calculation!D109,"")</f>
        <v/>
      </c>
      <c r="D109" s="52" t="str">
        <f>IF(Calculation!E109=Calculation!$A$146,Calculation!C109,"")</f>
        <v/>
      </c>
      <c r="E109" s="52" t="str">
        <f>IF(Calculation!E109=Calculation!$A$146,Calculation!F109,"")</f>
        <v/>
      </c>
      <c r="F109" s="54" t="str">
        <f>IF(Calculation!E109=Calculation!$A$146,Calculation!G109,"")</f>
        <v/>
      </c>
      <c r="G109" s="54" t="str">
        <f>IF(Calculation!E109=Calculation!$A$146,Calculation!H109,"")</f>
        <v/>
      </c>
      <c r="H109" s="55"/>
    </row>
    <row r="110">
      <c r="A110" s="52" t="str">
        <f>IF(Calculation!E110=Calculation!$A$146,Calculation!B110,"")</f>
        <v/>
      </c>
      <c r="B110" s="52" t="str">
        <f>IF(Calculation!E110=Calculation!$A$146,Calculation!I110,"")</f>
        <v/>
      </c>
      <c r="C110" s="52" t="str">
        <f>IF(Calculation!E110=Calculation!$A$146,Calculation!D110,"")</f>
        <v/>
      </c>
      <c r="D110" s="52" t="str">
        <f>IF(Calculation!E110=Calculation!$A$146,Calculation!C110,"")</f>
        <v/>
      </c>
      <c r="E110" s="52" t="str">
        <f>IF(Calculation!E110=Calculation!$A$146,Calculation!F110,"")</f>
        <v/>
      </c>
      <c r="F110" s="54" t="str">
        <f>IF(Calculation!E110=Calculation!$A$146,Calculation!G110,"")</f>
        <v/>
      </c>
      <c r="G110" s="54" t="str">
        <f>IF(Calculation!E110=Calculation!$A$146,Calculation!H110,"")</f>
        <v/>
      </c>
      <c r="H110" s="55"/>
    </row>
    <row r="111">
      <c r="A111" s="52" t="str">
        <f>IF(Calculation!E111=Calculation!$A$146,Calculation!B111,"")</f>
        <v/>
      </c>
      <c r="B111" s="52" t="str">
        <f>IF(Calculation!E111=Calculation!$A$146,Calculation!I111,"")</f>
        <v/>
      </c>
      <c r="C111" s="52" t="str">
        <f>IF(Calculation!E111=Calculation!$A$146,Calculation!D111,"")</f>
        <v/>
      </c>
      <c r="D111" s="52" t="str">
        <f>IF(Calculation!E111=Calculation!$A$146,Calculation!C111,"")</f>
        <v/>
      </c>
      <c r="E111" s="52" t="str">
        <f>IF(Calculation!E111=Calculation!$A$146,Calculation!F111,"")</f>
        <v/>
      </c>
      <c r="F111" s="54" t="str">
        <f>IF(Calculation!E111=Calculation!$A$146,Calculation!G111,"")</f>
        <v/>
      </c>
      <c r="G111" s="54" t="str">
        <f>IF(Calculation!E111=Calculation!$A$146,Calculation!H111,"")</f>
        <v/>
      </c>
      <c r="H111" s="55"/>
    </row>
    <row r="112">
      <c r="A112" s="52" t="str">
        <f>IF(Calculation!E112=Calculation!$A$146,Calculation!B112,"")</f>
        <v/>
      </c>
      <c r="B112" s="52" t="str">
        <f>IF(Calculation!E112=Calculation!$A$146,Calculation!I112,"")</f>
        <v/>
      </c>
      <c r="C112" s="52" t="str">
        <f>IF(Calculation!E112=Calculation!$A$146,Calculation!D112,"")</f>
        <v/>
      </c>
      <c r="D112" s="52" t="str">
        <f>IF(Calculation!E112=Calculation!$A$146,Calculation!C112,"")</f>
        <v/>
      </c>
      <c r="E112" s="52" t="str">
        <f>IF(Calculation!E112=Calculation!$A$146,Calculation!F112,"")</f>
        <v/>
      </c>
      <c r="F112" s="54" t="str">
        <f>IF(Calculation!E112=Calculation!$A$146,Calculation!G112,"")</f>
        <v/>
      </c>
      <c r="G112" s="54" t="str">
        <f>IF(Calculation!E112=Calculation!$A$146,Calculation!H112,"")</f>
        <v/>
      </c>
      <c r="H112" s="55"/>
    </row>
    <row r="113">
      <c r="A113" s="52" t="str">
        <f>IF(Calculation!E113=Calculation!$A$146,Calculation!B113,"")</f>
        <v/>
      </c>
      <c r="B113" s="52" t="str">
        <f>IF(Calculation!E113=Calculation!$A$146,Calculation!I113,"")</f>
        <v/>
      </c>
      <c r="C113" s="52" t="str">
        <f>IF(Calculation!E113=Calculation!$A$146,Calculation!D113,"")</f>
        <v/>
      </c>
      <c r="D113" s="52" t="str">
        <f>IF(Calculation!E113=Calculation!$A$146,Calculation!C113,"")</f>
        <v/>
      </c>
      <c r="E113" s="52" t="str">
        <f>IF(Calculation!E113=Calculation!$A$146,Calculation!F113,"")</f>
        <v/>
      </c>
      <c r="F113" s="54" t="str">
        <f>IF(Calculation!E113=Calculation!$A$146,Calculation!G113,"")</f>
        <v/>
      </c>
      <c r="G113" s="54" t="str">
        <f>IF(Calculation!E113=Calculation!$A$146,Calculation!H113,"")</f>
        <v/>
      </c>
      <c r="H113" s="55"/>
    </row>
    <row r="114">
      <c r="A114" s="52" t="str">
        <f>IF(Calculation!E114=Calculation!$A$146,Calculation!B114,"")</f>
        <v/>
      </c>
      <c r="B114" s="52" t="str">
        <f>IF(Calculation!E114=Calculation!$A$146,Calculation!I114,"")</f>
        <v/>
      </c>
      <c r="C114" s="52" t="str">
        <f>IF(Calculation!E114=Calculation!$A$146,Calculation!D114,"")</f>
        <v/>
      </c>
      <c r="D114" s="52" t="str">
        <f>IF(Calculation!E114=Calculation!$A$146,Calculation!C114,"")</f>
        <v/>
      </c>
      <c r="E114" s="52" t="str">
        <f>IF(Calculation!E114=Calculation!$A$146,Calculation!F114,"")</f>
        <v/>
      </c>
      <c r="F114" s="54" t="str">
        <f>IF(Calculation!E114=Calculation!$A$146,Calculation!G114,"")</f>
        <v/>
      </c>
      <c r="G114" s="54" t="str">
        <f>IF(Calculation!E114=Calculation!$A$146,Calculation!H114,"")</f>
        <v/>
      </c>
      <c r="H114" s="55"/>
    </row>
    <row r="115">
      <c r="A115" s="52" t="str">
        <f>IF(Calculation!E115=Calculation!$A$146,Calculation!B115,"")</f>
        <v/>
      </c>
      <c r="B115" s="52" t="str">
        <f>IF(Calculation!E115=Calculation!$A$146,Calculation!I115,"")</f>
        <v/>
      </c>
      <c r="C115" s="52" t="str">
        <f>IF(Calculation!E115=Calculation!$A$146,Calculation!D115,"")</f>
        <v/>
      </c>
      <c r="D115" s="52" t="str">
        <f>IF(Calculation!E115=Calculation!$A$146,Calculation!C115,"")</f>
        <v/>
      </c>
      <c r="E115" s="52" t="str">
        <f>IF(Calculation!E115=Calculation!$A$146,Calculation!F115,"")</f>
        <v/>
      </c>
      <c r="F115" s="54" t="str">
        <f>IF(Calculation!E115=Calculation!$A$146,Calculation!G115,"")</f>
        <v/>
      </c>
      <c r="G115" s="54" t="str">
        <f>IF(Calculation!E115=Calculation!$A$146,Calculation!H115,"")</f>
        <v/>
      </c>
      <c r="H115" s="55"/>
    </row>
    <row r="116">
      <c r="A116" s="52" t="str">
        <f>IF(Calculation!E116=Calculation!$A$146,Calculation!B116,"")</f>
        <v/>
      </c>
      <c r="B116" s="52" t="str">
        <f>IF(Calculation!E116=Calculation!$A$146,Calculation!I116,"")</f>
        <v/>
      </c>
      <c r="C116" s="52" t="str">
        <f>IF(Calculation!E116=Calculation!$A$146,Calculation!D116,"")</f>
        <v/>
      </c>
      <c r="D116" s="52" t="str">
        <f>IF(Calculation!E116=Calculation!$A$146,Calculation!C116,"")</f>
        <v/>
      </c>
      <c r="E116" s="52" t="str">
        <f>IF(Calculation!E116=Calculation!$A$146,Calculation!F116,"")</f>
        <v/>
      </c>
      <c r="F116" s="54" t="str">
        <f>IF(Calculation!E116=Calculation!$A$146,Calculation!G116,"")</f>
        <v/>
      </c>
      <c r="G116" s="54" t="str">
        <f>IF(Calculation!E116=Calculation!$A$146,Calculation!H116,"")</f>
        <v/>
      </c>
      <c r="H116" s="55"/>
    </row>
    <row r="117">
      <c r="A117" s="52" t="str">
        <f>IF(Calculation!E117=Calculation!$A$146,Calculation!B117,"")</f>
        <v/>
      </c>
      <c r="B117" s="52" t="str">
        <f>IF(Calculation!E117=Calculation!$A$146,Calculation!I117,"")</f>
        <v/>
      </c>
      <c r="C117" s="52" t="str">
        <f>IF(Calculation!E117=Calculation!$A$146,Calculation!D117,"")</f>
        <v/>
      </c>
      <c r="D117" s="52" t="str">
        <f>IF(Calculation!E117=Calculation!$A$146,Calculation!C117,"")</f>
        <v/>
      </c>
      <c r="E117" s="52" t="str">
        <f>IF(Calculation!E117=Calculation!$A$146,Calculation!F117,"")</f>
        <v/>
      </c>
      <c r="F117" s="54" t="str">
        <f>IF(Calculation!E117=Calculation!$A$146,Calculation!G117,"")</f>
        <v/>
      </c>
      <c r="G117" s="54" t="str">
        <f>IF(Calculation!E117=Calculation!$A$146,Calculation!H117,"")</f>
        <v/>
      </c>
      <c r="H117" s="55"/>
    </row>
    <row r="118">
      <c r="A118" s="52" t="str">
        <f>IF(Calculation!E118=Calculation!$A$146,Calculation!B118,"")</f>
        <v/>
      </c>
      <c r="B118" s="52" t="str">
        <f>IF(Calculation!E118=Calculation!$A$146,Calculation!I118,"")</f>
        <v/>
      </c>
      <c r="C118" s="52" t="str">
        <f>IF(Calculation!E118=Calculation!$A$146,Calculation!D118,"")</f>
        <v/>
      </c>
      <c r="D118" s="52" t="str">
        <f>IF(Calculation!E118=Calculation!$A$146,Calculation!C118,"")</f>
        <v/>
      </c>
      <c r="E118" s="52" t="str">
        <f>IF(Calculation!E118=Calculation!$A$146,Calculation!F118,"")</f>
        <v/>
      </c>
      <c r="F118" s="54" t="str">
        <f>IF(Calculation!E118=Calculation!$A$146,Calculation!G118,"")</f>
        <v/>
      </c>
      <c r="G118" s="54" t="str">
        <f>IF(Calculation!E118=Calculation!$A$146,Calculation!H118,"")</f>
        <v/>
      </c>
      <c r="H118" s="55"/>
    </row>
    <row r="119">
      <c r="A119" s="52" t="str">
        <f>IF(Calculation!E119=Calculation!$A$146,Calculation!B119,"")</f>
        <v/>
      </c>
      <c r="B119" s="52" t="str">
        <f>IF(Calculation!E119=Calculation!$A$146,Calculation!I119,"")</f>
        <v/>
      </c>
      <c r="C119" s="52" t="str">
        <f>IF(Calculation!E119=Calculation!$A$146,Calculation!D119,"")</f>
        <v/>
      </c>
      <c r="D119" s="52" t="str">
        <f>IF(Calculation!E119=Calculation!$A$146,Calculation!C119,"")</f>
        <v/>
      </c>
      <c r="E119" s="52" t="str">
        <f>IF(Calculation!E119=Calculation!$A$146,Calculation!F119,"")</f>
        <v/>
      </c>
      <c r="F119" s="54" t="str">
        <f>IF(Calculation!E119=Calculation!$A$146,Calculation!G119,"")</f>
        <v/>
      </c>
      <c r="G119" s="54" t="str">
        <f>IF(Calculation!E119=Calculation!$A$146,Calculation!H119,"")</f>
        <v/>
      </c>
      <c r="H119" s="55"/>
    </row>
    <row r="120">
      <c r="A120" s="52" t="str">
        <f>IF(Calculation!E120=Calculation!$A$146,Calculation!B120,"")</f>
        <v/>
      </c>
      <c r="B120" s="52" t="str">
        <f>IF(Calculation!E120=Calculation!$A$146,Calculation!I120,"")</f>
        <v/>
      </c>
      <c r="C120" s="52" t="str">
        <f>IF(Calculation!E120=Calculation!$A$146,Calculation!D120,"")</f>
        <v/>
      </c>
      <c r="D120" s="52" t="str">
        <f>IF(Calculation!E120=Calculation!$A$146,Calculation!C120,"")</f>
        <v/>
      </c>
      <c r="E120" s="52" t="str">
        <f>IF(Calculation!E120=Calculation!$A$146,Calculation!F120,"")</f>
        <v/>
      </c>
      <c r="F120" s="54" t="str">
        <f>IF(Calculation!E120=Calculation!$A$146,Calculation!G120,"")</f>
        <v/>
      </c>
      <c r="G120" s="54" t="str">
        <f>IF(Calculation!E120=Calculation!$A$146,Calculation!H120,"")</f>
        <v/>
      </c>
      <c r="H120" s="55"/>
    </row>
    <row r="121">
      <c r="A121" s="52" t="str">
        <f>IF(Calculation!E121=Calculation!$A$146,Calculation!B121,"")</f>
        <v/>
      </c>
      <c r="B121" s="52" t="str">
        <f>IF(Calculation!E121=Calculation!$A$146,Calculation!I121,"")</f>
        <v/>
      </c>
      <c r="C121" s="52" t="str">
        <f>IF(Calculation!E121=Calculation!$A$146,Calculation!D121,"")</f>
        <v/>
      </c>
      <c r="D121" s="52" t="str">
        <f>IF(Calculation!E121=Calculation!$A$146,Calculation!C121,"")</f>
        <v/>
      </c>
      <c r="E121" s="52" t="str">
        <f>IF(Calculation!E121=Calculation!$A$146,Calculation!F121,"")</f>
        <v/>
      </c>
      <c r="F121" s="54" t="str">
        <f>IF(Calculation!E121=Calculation!$A$146,Calculation!G121,"")</f>
        <v/>
      </c>
      <c r="G121" s="54" t="str">
        <f>IF(Calculation!E121=Calculation!$A$146,Calculation!H121,"")</f>
        <v/>
      </c>
      <c r="H121" s="55"/>
    </row>
    <row r="122">
      <c r="A122" s="52" t="str">
        <f>IF(Calculation!E122=Calculation!$A$146,Calculation!B122,"")</f>
        <v/>
      </c>
      <c r="B122" s="52" t="str">
        <f>IF(Calculation!E122=Calculation!$A$146,Calculation!I122,"")</f>
        <v/>
      </c>
      <c r="C122" s="52" t="str">
        <f>IF(Calculation!E122=Calculation!$A$146,Calculation!D122,"")</f>
        <v/>
      </c>
      <c r="D122" s="52" t="str">
        <f>IF(Calculation!E122=Calculation!$A$146,Calculation!C122,"")</f>
        <v/>
      </c>
      <c r="E122" s="52" t="str">
        <f>IF(Calculation!E122=Calculation!$A$146,Calculation!F122,"")</f>
        <v/>
      </c>
      <c r="F122" s="54" t="str">
        <f>IF(Calculation!E122=Calculation!$A$146,Calculation!G122,"")</f>
        <v/>
      </c>
      <c r="G122" s="54" t="str">
        <f>IF(Calculation!E122=Calculation!$A$146,Calculation!H122,"")</f>
        <v/>
      </c>
      <c r="H122" s="55"/>
    </row>
    <row r="123">
      <c r="A123" s="52" t="str">
        <f>IF(Calculation!E123=Calculation!$A$146,Calculation!B123,"")</f>
        <v/>
      </c>
      <c r="B123" s="52" t="str">
        <f>IF(Calculation!E123=Calculation!$A$146,Calculation!I123,"")</f>
        <v/>
      </c>
      <c r="C123" s="52" t="str">
        <f>IF(Calculation!E123=Calculation!$A$146,Calculation!D123,"")</f>
        <v/>
      </c>
      <c r="D123" s="52" t="str">
        <f>IF(Calculation!E123=Calculation!$A$146,Calculation!C123,"")</f>
        <v/>
      </c>
      <c r="E123" s="52" t="str">
        <f>IF(Calculation!E123=Calculation!$A$146,Calculation!F123,"")</f>
        <v/>
      </c>
      <c r="F123" s="54" t="str">
        <f>IF(Calculation!E123=Calculation!$A$146,Calculation!G123,"")</f>
        <v/>
      </c>
      <c r="G123" s="54" t="str">
        <f>IF(Calculation!E123=Calculation!$A$146,Calculation!H123,"")</f>
        <v/>
      </c>
      <c r="H123" s="55"/>
    </row>
    <row r="124">
      <c r="A124" s="52" t="str">
        <f>IF(Calculation!E124=Calculation!$A$146,Calculation!B124,"")</f>
        <v/>
      </c>
      <c r="B124" s="52" t="str">
        <f>IF(Calculation!E124=Calculation!$A$146,Calculation!I124,"")</f>
        <v/>
      </c>
      <c r="C124" s="52" t="str">
        <f>IF(Calculation!E124=Calculation!$A$146,Calculation!D124,"")</f>
        <v/>
      </c>
      <c r="D124" s="52" t="str">
        <f>IF(Calculation!E124=Calculation!$A$146,Calculation!C124,"")</f>
        <v/>
      </c>
      <c r="E124" s="52" t="str">
        <f>IF(Calculation!E124=Calculation!$A$146,Calculation!F124,"")</f>
        <v/>
      </c>
      <c r="F124" s="54" t="str">
        <f>IF(Calculation!E124=Calculation!$A$146,Calculation!G124,"")</f>
        <v/>
      </c>
      <c r="G124" s="54" t="str">
        <f>IF(Calculation!E124=Calculation!$A$146,Calculation!H124,"")</f>
        <v/>
      </c>
      <c r="H124" s="55"/>
    </row>
    <row r="125">
      <c r="A125" s="52" t="str">
        <f>IF(Calculation!E125=Calculation!$A$146,Calculation!B125,"")</f>
        <v/>
      </c>
      <c r="B125" s="52" t="str">
        <f>IF(Calculation!E125=Calculation!$A$146,Calculation!I125,"")</f>
        <v/>
      </c>
      <c r="C125" s="52" t="str">
        <f>IF(Calculation!E125=Calculation!$A$146,Calculation!D125,"")</f>
        <v/>
      </c>
      <c r="D125" s="52" t="str">
        <f>IF(Calculation!E125=Calculation!$A$146,Calculation!C125,"")</f>
        <v/>
      </c>
      <c r="E125" s="52" t="str">
        <f>IF(Calculation!E125=Calculation!$A$146,Calculation!F125,"")</f>
        <v/>
      </c>
      <c r="F125" s="54" t="str">
        <f>IF(Calculation!E125=Calculation!$A$146,Calculation!G125,"")</f>
        <v/>
      </c>
      <c r="G125" s="54" t="str">
        <f>IF(Calculation!E125=Calculation!$A$146,Calculation!H125,"")</f>
        <v/>
      </c>
      <c r="H125" s="55"/>
    </row>
  </sheetData>
  <mergeCells count="37">
    <mergeCell ref="A1:H1"/>
    <mergeCell ref="L3:O3"/>
    <mergeCell ref="L4:O4"/>
    <mergeCell ref="L5:O5"/>
    <mergeCell ref="L6:N6"/>
    <mergeCell ref="L8:P8"/>
    <mergeCell ref="O9:P9"/>
    <mergeCell ref="L9:N9"/>
    <mergeCell ref="L10:N10"/>
    <mergeCell ref="O10:P10"/>
    <mergeCell ref="Q10:R10"/>
    <mergeCell ref="L11:N11"/>
    <mergeCell ref="O11:P11"/>
    <mergeCell ref="Q11:R11"/>
    <mergeCell ref="O14:P14"/>
    <mergeCell ref="Q14:R14"/>
    <mergeCell ref="L12:N12"/>
    <mergeCell ref="O12:P12"/>
    <mergeCell ref="Q12:R12"/>
    <mergeCell ref="L13:N13"/>
    <mergeCell ref="O13:P13"/>
    <mergeCell ref="Q13:R13"/>
    <mergeCell ref="L14:N14"/>
    <mergeCell ref="L19:O19"/>
    <mergeCell ref="L20:O20"/>
    <mergeCell ref="L21:O21"/>
    <mergeCell ref="L22:O22"/>
    <mergeCell ref="N24:P24"/>
    <mergeCell ref="N25:P25"/>
    <mergeCell ref="Q26:R26"/>
    <mergeCell ref="L15:N15"/>
    <mergeCell ref="O15:P15"/>
    <mergeCell ref="Q15:R15"/>
    <mergeCell ref="L16:N16"/>
    <mergeCell ref="O16:P16"/>
    <mergeCell ref="Q16:R16"/>
    <mergeCell ref="L18:O18"/>
  </mergeCells>
  <dataValidations>
    <dataValidation type="custom" allowBlank="1" showDropDown="1" sqref="O9 Q15">
      <formula1>OR(NOT(ISERROR(DATEVALUE(O9))), AND(ISNUMBER(O9), LEFT(CELL("format", O9))="D"))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9.13"/>
    <col customWidth="1" min="3" max="3" width="18.63"/>
    <col customWidth="1" min="4" max="4" width="17.63"/>
    <col customWidth="1" min="5" max="5" width="18.75"/>
    <col customWidth="1" min="6" max="6" width="19.25"/>
    <col customWidth="1" min="7" max="8" width="17.38"/>
    <col customWidth="1" min="9" max="9" width="15.13"/>
  </cols>
  <sheetData>
    <row r="1" ht="42.0" customHeight="1">
      <c r="A1" s="49" t="s">
        <v>81</v>
      </c>
      <c r="I1" s="50"/>
    </row>
    <row r="2" ht="29.25" customHeight="1">
      <c r="A2" s="51" t="s">
        <v>45</v>
      </c>
      <c r="B2" s="51" t="s">
        <v>46</v>
      </c>
      <c r="C2" s="51" t="s">
        <v>47</v>
      </c>
      <c r="D2" s="51" t="s">
        <v>48</v>
      </c>
      <c r="E2" s="51" t="s">
        <v>49</v>
      </c>
      <c r="F2" s="51" t="s">
        <v>50</v>
      </c>
      <c r="G2" s="51" t="s">
        <v>51</v>
      </c>
      <c r="H2" s="51" t="s">
        <v>52</v>
      </c>
    </row>
    <row r="3" ht="18.75" customHeight="1">
      <c r="A3" s="52" t="str">
        <f>IF(Calculation!E3=Calculation!A147,Calculation!B3,"")</f>
        <v/>
      </c>
      <c r="B3" s="53" t="str">
        <f>IF(Calculation!E3=Calculation!A147,Calculation!I3,"")</f>
        <v/>
      </c>
      <c r="C3" s="52" t="str">
        <f>IF(Calculation!E3=Calculation!A147,Calculation!D3,"")</f>
        <v/>
      </c>
      <c r="D3" s="52" t="str">
        <f>IF(Calculation!E3=Calculation!A147,Calculation!C3,"")</f>
        <v/>
      </c>
      <c r="E3" s="52" t="str">
        <f>IF(Calculation!E3=Calculation!A147,Calculation!F3,"")</f>
        <v/>
      </c>
      <c r="F3" s="54" t="str">
        <f>IF(Calculation!E3=Calculation!A147,Calculation!G3,"")</f>
        <v/>
      </c>
      <c r="G3" s="54" t="str">
        <f>IF(Calculation!E3=Calculation!A147,Calculation!H3,"")</f>
        <v/>
      </c>
      <c r="H3" s="110">
        <f>SUMIF(Calculation!E3:E125,Calculation!A147,Calculation!H3:H125)</f>
        <v>176</v>
      </c>
    </row>
    <row r="4" ht="20.25" customHeight="1">
      <c r="A4" s="52" t="str">
        <f>IF(Calculation!E4=Calculation!A147,Calculation!B4,"")</f>
        <v/>
      </c>
      <c r="B4" s="53" t="str">
        <f>IF(Calculation!E4=Calculation!A147,Calculation!I4,"")</f>
        <v/>
      </c>
      <c r="C4" s="52" t="str">
        <f>IF(Calculation!E4=Calculation!A147,Calculation!D4,"")</f>
        <v/>
      </c>
      <c r="D4" s="52" t="str">
        <f>IF(Calculation!E4=Calculation!A147,Calculation!C4,"")</f>
        <v/>
      </c>
      <c r="E4" s="52" t="str">
        <f>IF(Calculation!E4=Calculation!A147,Calculation!F4,"")</f>
        <v/>
      </c>
      <c r="F4" s="54" t="str">
        <f>IF(Calculation!E4=Calculation!A147,Calculation!G4,"")</f>
        <v/>
      </c>
      <c r="G4" s="54" t="str">
        <f>IF(Calculation!E4=Calculation!A147,Calculation!H4,"")</f>
        <v/>
      </c>
      <c r="H4" s="55"/>
    </row>
    <row r="5">
      <c r="A5" s="52" t="str">
        <f>IF(Calculation!E5=Calculation!A147,Calculation!B5,"")</f>
        <v/>
      </c>
      <c r="B5" s="53" t="str">
        <f>IF(Calculation!E5=Calculation!A147,Calculation!I5,"")</f>
        <v/>
      </c>
      <c r="C5" s="52" t="str">
        <f>IF(Calculation!E5=Calculation!A147,Calculation!D5,"")</f>
        <v/>
      </c>
      <c r="D5" s="52" t="str">
        <f>IF(Calculation!E5=Calculation!A147,Calculation!C5,"")</f>
        <v/>
      </c>
      <c r="E5" s="52" t="str">
        <f>IF(Calculation!E5=Calculation!A147,Calculation!F5,"")</f>
        <v/>
      </c>
      <c r="F5" s="54" t="str">
        <f>IF(Calculation!E5=Calculation!A147,Calculation!G5,"")</f>
        <v/>
      </c>
      <c r="G5" s="54" t="str">
        <f>IF(Calculation!E5=Calculation!A147,Calculation!H5,"")</f>
        <v/>
      </c>
      <c r="H5" s="55"/>
    </row>
    <row r="6">
      <c r="A6" s="52" t="str">
        <f>IF(Calculation!E6=Calculation!A147,Calculation!B6,"")</f>
        <v/>
      </c>
      <c r="B6" s="53" t="str">
        <f>IF(Calculation!E6=Calculation!A147,Calculation!I6,"")</f>
        <v/>
      </c>
      <c r="C6" s="52" t="str">
        <f>IF(Calculation!E6=Calculation!A147,Calculation!D6,"")</f>
        <v/>
      </c>
      <c r="D6" s="52" t="str">
        <f>IF(Calculation!E6=Calculation!A147,Calculation!C6,"")</f>
        <v/>
      </c>
      <c r="E6" s="52" t="str">
        <f>IF(Calculation!E6=Calculation!A147,Calculation!F6,"")</f>
        <v/>
      </c>
      <c r="F6" s="54" t="str">
        <f>IF(Calculation!E6=Calculation!A147,Calculation!G6,"")</f>
        <v/>
      </c>
      <c r="G6" s="54" t="str">
        <f>IF(Calculation!E6=Calculation!A147,Calculation!H6,"")</f>
        <v/>
      </c>
      <c r="H6" s="55"/>
    </row>
    <row r="7">
      <c r="A7" s="52" t="str">
        <f>IF(Calculation!E7=Calculation!A147,Calculation!B7,"")</f>
        <v/>
      </c>
      <c r="B7" s="53" t="str">
        <f>IF(Calculation!E7=Calculation!A147,Calculation!I7,"")</f>
        <v/>
      </c>
      <c r="C7" s="52" t="str">
        <f>IF(Calculation!E7=Calculation!A147,Calculation!D7,"")</f>
        <v/>
      </c>
      <c r="D7" s="52" t="str">
        <f>IF(Calculation!E7=Calculation!A147,Calculation!C7,"")</f>
        <v/>
      </c>
      <c r="E7" s="52" t="str">
        <f>IF(Calculation!E7=Calculation!A147,Calculation!F7,"")</f>
        <v/>
      </c>
      <c r="F7" s="54" t="str">
        <f>IF(Calculation!E7=Calculation!A147,Calculation!G7,"")</f>
        <v/>
      </c>
      <c r="G7" s="54" t="str">
        <f>IF(Calculation!E7=Calculation!A147,Calculation!H7,"")</f>
        <v/>
      </c>
      <c r="H7" s="55"/>
    </row>
    <row r="8">
      <c r="A8" s="52" t="str">
        <f>IF(Calculation!E8=Calculation!A147,Calculation!B8,"")</f>
        <v/>
      </c>
      <c r="B8" s="53" t="str">
        <f>IF(Calculation!E8=Calculation!A147,Calculation!I8,"")</f>
        <v/>
      </c>
      <c r="C8" s="52" t="str">
        <f>IF(Calculation!E8=Calculation!A147,Calculation!D8,"")</f>
        <v/>
      </c>
      <c r="D8" s="52" t="str">
        <f>IF(Calculation!E8=Calculation!A147,Calculation!C8,"")</f>
        <v/>
      </c>
      <c r="E8" s="52" t="str">
        <f>IF(Calculation!E8=Calculation!A147,Calculation!F8,"")</f>
        <v/>
      </c>
      <c r="F8" s="54" t="str">
        <f>IF(Calculation!E8=Calculation!A147,Calculation!G8,"")</f>
        <v/>
      </c>
      <c r="G8" s="54" t="str">
        <f>IF(Calculation!E8=Calculation!A147,Calculation!H8,"")</f>
        <v/>
      </c>
      <c r="H8" s="55"/>
    </row>
    <row r="9">
      <c r="A9" s="52" t="str">
        <f>IF(Calculation!E9=Calculation!A147,Calculation!B9,"")</f>
        <v/>
      </c>
      <c r="B9" s="53" t="str">
        <f>IF(Calculation!E9=Calculation!A147,Calculation!I9,"")</f>
        <v/>
      </c>
      <c r="C9" s="52" t="str">
        <f>IF(Calculation!E9=Calculation!A147,Calculation!D9,"")</f>
        <v/>
      </c>
      <c r="D9" s="52" t="str">
        <f>IF(Calculation!E9=Calculation!A147,Calculation!C9,"")</f>
        <v/>
      </c>
      <c r="E9" s="52" t="str">
        <f>IF(Calculation!E9=Calculation!A147,Calculation!F9,"")</f>
        <v/>
      </c>
      <c r="F9" s="54" t="str">
        <f>IF(Calculation!E9=Calculation!A147,Calculation!G9,"")</f>
        <v/>
      </c>
      <c r="G9" s="54" t="str">
        <f>IF(Calculation!E9=Calculation!A147,Calculation!H9,"")</f>
        <v/>
      </c>
      <c r="H9" s="55"/>
    </row>
    <row r="10">
      <c r="A10" s="52" t="str">
        <f>IF(Calculation!E10=Calculation!A147,Calculation!B10,"")</f>
        <v/>
      </c>
      <c r="B10" s="53" t="str">
        <f>IF(Calculation!E10=Calculation!A147,Calculation!I10,"")</f>
        <v/>
      </c>
      <c r="C10" s="52" t="str">
        <f>IF(Calculation!E10=Calculation!A147,Calculation!D10,"")</f>
        <v/>
      </c>
      <c r="D10" s="52" t="str">
        <f>IF(Calculation!E10=Calculation!A147,Calculation!C10,"")</f>
        <v/>
      </c>
      <c r="E10" s="52" t="str">
        <f>IF(Calculation!E10=Calculation!A147,Calculation!F10,"")</f>
        <v/>
      </c>
      <c r="F10" s="54" t="str">
        <f>IF(Calculation!E10=Calculation!A147,Calculation!G10,"")</f>
        <v/>
      </c>
      <c r="G10" s="54" t="str">
        <f>IF(Calculation!E10=Calculation!A147,Calculation!H10,"")</f>
        <v/>
      </c>
      <c r="H10" s="55"/>
      <c r="L10" s="59"/>
      <c r="M10" s="59"/>
      <c r="N10" s="59"/>
      <c r="O10" s="60"/>
      <c r="P10" s="59"/>
      <c r="Q10" s="59"/>
      <c r="R10" s="59"/>
      <c r="S10" s="59"/>
      <c r="T10" s="61"/>
    </row>
    <row r="11">
      <c r="A11" s="57">
        <f>IF(Calculation!E11=Calculation!A147,Calculation!B11,"")</f>
        <v>45498</v>
      </c>
      <c r="B11" s="53">
        <f>IF(Calculation!E11=Calculation!A147,Calculation!I11,"")</f>
        <v>45974</v>
      </c>
      <c r="C11" s="52" t="str">
        <f>IF(Calculation!E11=Calculation!A147,Calculation!D11,"")</f>
        <v>Nebil Divay</v>
      </c>
      <c r="D11" s="52" t="str">
        <f>IF(Calculation!E11=Calculation!A147,Calculation!C11,"")</f>
        <v>Poster Design</v>
      </c>
      <c r="E11" s="52">
        <f>IF(Calculation!E11=Calculation!A147,Calculation!F11,"")</f>
        <v>4</v>
      </c>
      <c r="F11" s="54">
        <f>IF(Calculation!E11=Calculation!A147,Calculation!G11,"")</f>
        <v>44</v>
      </c>
      <c r="G11" s="54">
        <f>IF(Calculation!E11=Calculation!A147,Calculation!H11,"")</f>
        <v>176</v>
      </c>
      <c r="H11" s="55"/>
      <c r="L11" s="62"/>
      <c r="M11" s="62"/>
      <c r="N11" s="62"/>
      <c r="O11" s="63"/>
      <c r="P11" s="62"/>
      <c r="Q11" s="62"/>
      <c r="R11" s="62"/>
      <c r="S11" s="62"/>
      <c r="T11" s="64"/>
    </row>
    <row r="12">
      <c r="A12" s="52" t="str">
        <f>IF(Calculation!E12=Calculation!A147,Calculation!B12,"")</f>
        <v/>
      </c>
      <c r="B12" s="53" t="str">
        <f>IF(Calculation!E12=Calculation!A147,Calculation!I12,"")</f>
        <v/>
      </c>
      <c r="C12" s="52" t="str">
        <f>IF(Calculation!E12=Calculation!A147,Calculation!D12,"")</f>
        <v/>
      </c>
      <c r="D12" s="52" t="str">
        <f>IF(Calculation!E12=Calculation!A147,Calculation!C12,"")</f>
        <v/>
      </c>
      <c r="E12" s="52" t="str">
        <f>IF(Calculation!E12=Calculation!A147,Calculation!F12,"")</f>
        <v/>
      </c>
      <c r="F12" s="54" t="str">
        <f>IF(Calculation!E12=Calculation!A147,Calculation!G12,"")</f>
        <v/>
      </c>
      <c r="G12" s="54" t="str">
        <f>IF(Calculation!E12=Calculation!A147,Calculation!H12,"")</f>
        <v/>
      </c>
      <c r="H12" s="55"/>
      <c r="L12" s="65" t="s">
        <v>53</v>
      </c>
      <c r="P12" s="62"/>
      <c r="Q12" s="62"/>
      <c r="R12" s="62"/>
      <c r="S12" s="62"/>
      <c r="T12" s="64"/>
    </row>
    <row r="13">
      <c r="A13" s="52" t="str">
        <f>IF(Calculation!E13=Calculation!A147,Calculation!B13,"")</f>
        <v/>
      </c>
      <c r="B13" s="53" t="str">
        <f>IF(Calculation!E13=Calculation!A147,Calculation!I13,"")</f>
        <v/>
      </c>
      <c r="C13" s="52" t="str">
        <f>IF(Calculation!E13=Calculation!A147,Calculation!D13,"")</f>
        <v/>
      </c>
      <c r="D13" s="52" t="str">
        <f>IF(Calculation!E13=Calculation!A147,Calculation!C13,"")</f>
        <v/>
      </c>
      <c r="E13" s="52" t="str">
        <f>IF(Calculation!E13=Calculation!A147,Calculation!F13,"")</f>
        <v/>
      </c>
      <c r="F13" s="54" t="str">
        <f>IF(Calculation!E13=Calculation!A147,Calculation!G13,"")</f>
        <v/>
      </c>
      <c r="G13" s="54" t="str">
        <f>IF(Calculation!E13=Calculation!A147,Calculation!H13,"")</f>
        <v/>
      </c>
      <c r="H13" s="55"/>
      <c r="L13" s="106" t="s">
        <v>75</v>
      </c>
      <c r="P13" s="62"/>
      <c r="Q13" s="62"/>
      <c r="R13" s="62"/>
      <c r="S13" s="62"/>
      <c r="T13" s="64"/>
    </row>
    <row r="14">
      <c r="A14" s="52" t="str">
        <f>IF(Calculation!E14=Calculation!A147,Calculation!B14,"")</f>
        <v/>
      </c>
      <c r="B14" s="53" t="str">
        <f>IF(Calculation!E14=Calculation!A147,Calculation!I14,"")</f>
        <v/>
      </c>
      <c r="C14" s="52" t="str">
        <f>IF(Calculation!E14=Calculation!A147,Calculation!D14,"")</f>
        <v/>
      </c>
      <c r="D14" s="52" t="str">
        <f>IF(Calculation!E14=Calculation!A147,Calculation!C14,"")</f>
        <v/>
      </c>
      <c r="E14" s="52" t="str">
        <f>IF(Calculation!E14=Calculation!A147,Calculation!F14,"")</f>
        <v/>
      </c>
      <c r="F14" s="54" t="str">
        <f>IF(Calculation!E14=Calculation!A147,Calculation!G14,"")</f>
        <v/>
      </c>
      <c r="G14" s="54" t="str">
        <f>IF(Calculation!E14=Calculation!A147,Calculation!H14,"")</f>
        <v/>
      </c>
      <c r="H14" s="55"/>
      <c r="L14" s="107" t="s">
        <v>76</v>
      </c>
      <c r="P14" s="62"/>
      <c r="Q14" s="62"/>
      <c r="R14" s="62"/>
      <c r="S14" s="62"/>
      <c r="T14" s="64"/>
    </row>
    <row r="15">
      <c r="A15" s="52" t="str">
        <f>IF(Calculation!E15=Calculation!A147,Calculation!B15,"")</f>
        <v/>
      </c>
      <c r="B15" s="53" t="str">
        <f>IF(Calculation!E15=Calculation!A147,Calculation!I15,"")</f>
        <v/>
      </c>
      <c r="C15" s="52" t="str">
        <f>IF(Calculation!E15=Calculation!A147,Calculation!D15,"")</f>
        <v/>
      </c>
      <c r="D15" s="52" t="str">
        <f>IF(Calculation!E15=Calculation!A147,Calculation!C15,"")</f>
        <v/>
      </c>
      <c r="E15" s="52" t="str">
        <f>IF(Calculation!E15=Calculation!A147,Calculation!F15,"")</f>
        <v/>
      </c>
      <c r="F15" s="54" t="str">
        <f>IF(Calculation!E15=Calculation!A147,Calculation!G15,"")</f>
        <v/>
      </c>
      <c r="G15" s="54" t="str">
        <f>IF(Calculation!E15=Calculation!A147,Calculation!H15,"")</f>
        <v/>
      </c>
      <c r="H15" s="55"/>
      <c r="L15" s="78" t="s">
        <v>77</v>
      </c>
      <c r="O15" s="72"/>
      <c r="P15" s="69"/>
      <c r="Q15" s="69"/>
      <c r="R15" s="69"/>
      <c r="S15" s="69"/>
      <c r="T15" s="70"/>
    </row>
    <row r="16">
      <c r="A16" s="52" t="str">
        <f>IF(Calculation!E16=Calculation!A147,Calculation!B16,"")</f>
        <v/>
      </c>
      <c r="B16" s="53" t="str">
        <f>IF(Calculation!E16=Calculation!A147,Calculation!I16,"")</f>
        <v/>
      </c>
      <c r="C16" s="52" t="str">
        <f>IF(Calculation!E16=Calculation!A147,Calculation!D16,"")</f>
        <v/>
      </c>
      <c r="D16" s="52" t="str">
        <f>IF(Calculation!E16=Calculation!A147,Calculation!C16,"")</f>
        <v/>
      </c>
      <c r="E16" s="52" t="str">
        <f>IF(Calculation!E16=Calculation!A147,Calculation!F16,"")</f>
        <v/>
      </c>
      <c r="F16" s="54" t="str">
        <f>IF(Calculation!E16=Calculation!A147,Calculation!G16,"")</f>
        <v/>
      </c>
      <c r="G16" s="54" t="str">
        <f>IF(Calculation!E16=Calculation!A147,Calculation!H16,"")</f>
        <v/>
      </c>
      <c r="H16" s="55"/>
      <c r="L16" s="62"/>
      <c r="M16" s="62"/>
      <c r="N16" s="62"/>
      <c r="O16" s="62"/>
      <c r="P16" s="62"/>
      <c r="Q16" s="62"/>
      <c r="R16" s="62"/>
      <c r="S16" s="62"/>
      <c r="T16" s="64"/>
    </row>
    <row r="17">
      <c r="A17" s="52" t="str">
        <f>IF(Calculation!E17=Calculation!A147,Calculation!B17,"")</f>
        <v/>
      </c>
      <c r="B17" s="53" t="str">
        <f>IF(Calculation!E17=Calculation!A147,Calculation!I17,"")</f>
        <v/>
      </c>
      <c r="C17" s="52" t="str">
        <f>IF(Calculation!E17=Calculation!A147,Calculation!D17,"")</f>
        <v/>
      </c>
      <c r="D17" s="52" t="str">
        <f>IF(Calculation!E17=Calculation!A147,Calculation!C17,"")</f>
        <v/>
      </c>
      <c r="E17" s="52" t="str">
        <f>IF(Calculation!E17=Calculation!A147,Calculation!F17,"")</f>
        <v/>
      </c>
      <c r="F17" s="54" t="str">
        <f>IF(Calculation!E17=Calculation!A147,Calculation!G17,"")</f>
        <v/>
      </c>
      <c r="G17" s="54" t="str">
        <f>IF(Calculation!E17=Calculation!A147,Calculation!H17,"")</f>
        <v/>
      </c>
      <c r="H17" s="55"/>
      <c r="L17" s="108" t="s">
        <v>78</v>
      </c>
      <c r="Q17" s="62"/>
      <c r="R17" s="62"/>
      <c r="S17" s="69"/>
      <c r="T17" s="70"/>
    </row>
    <row r="18">
      <c r="A18" s="52" t="str">
        <f>IF(Calculation!E18=Calculation!A147,Calculation!B18,"")</f>
        <v/>
      </c>
      <c r="B18" s="53" t="str">
        <f>IF(Calculation!E18=Calculation!A147,Calculation!I18,"")</f>
        <v/>
      </c>
      <c r="C18" s="52" t="str">
        <f>IF(Calculation!E18=Calculation!A147,Calculation!D18,"")</f>
        <v/>
      </c>
      <c r="D18" s="52" t="str">
        <f>IF(Calculation!E18=Calculation!A147,Calculation!C18,"")</f>
        <v/>
      </c>
      <c r="E18" s="52" t="str">
        <f>IF(Calculation!E18=Calculation!A147,Calculation!F18,"")</f>
        <v/>
      </c>
      <c r="F18" s="54" t="str">
        <f>IF(Calculation!E18=Calculation!A147,Calculation!G18,"")</f>
        <v/>
      </c>
      <c r="G18" s="54" t="str">
        <f>IF(Calculation!E18=Calculation!A147,Calculation!H18,"")</f>
        <v/>
      </c>
      <c r="H18" s="55"/>
      <c r="L18" s="74" t="s">
        <v>58</v>
      </c>
      <c r="O18" s="75">
        <v>45462.0</v>
      </c>
      <c r="Q18" s="62"/>
      <c r="R18" s="62"/>
      <c r="S18" s="69"/>
      <c r="T18" s="70"/>
    </row>
    <row r="19" ht="23.25" customHeight="1">
      <c r="A19" s="52" t="str">
        <f>IF(Calculation!E19=Calculation!A147,Calculation!B19,"")</f>
        <v/>
      </c>
      <c r="B19" s="53" t="str">
        <f>IF(Calculation!E19=Calculation!A147,Calculation!I19,"")</f>
        <v/>
      </c>
      <c r="C19" s="52" t="str">
        <f>IF(Calculation!E19=Calculation!A147,Calculation!D19,"")</f>
        <v/>
      </c>
      <c r="D19" s="52" t="str">
        <f>IF(Calculation!E19=Calculation!A147,Calculation!C19,"")</f>
        <v/>
      </c>
      <c r="E19" s="52" t="str">
        <f>IF(Calculation!E19=Calculation!A147,Calculation!F19,"")</f>
        <v/>
      </c>
      <c r="F19" s="54" t="str">
        <f>IF(Calculation!E19=Calculation!A147,Calculation!G19,"")</f>
        <v/>
      </c>
      <c r="G19" s="54" t="str">
        <f>IF(Calculation!E19=Calculation!A147,Calculation!H19,"")</f>
        <v/>
      </c>
      <c r="H19" s="55"/>
      <c r="L19" s="76"/>
      <c r="O19" s="62"/>
      <c r="Q19" s="62"/>
      <c r="S19" s="69"/>
      <c r="T19" s="70"/>
    </row>
    <row r="20" ht="18.0" customHeight="1">
      <c r="A20" s="52" t="str">
        <f>IF(Calculation!E20=Calculation!A147,Calculation!B20,"")</f>
        <v/>
      </c>
      <c r="B20" s="53" t="str">
        <f>IF(Calculation!E20=Calculation!A147,Calculation!I20,"")</f>
        <v/>
      </c>
      <c r="C20" s="52" t="str">
        <f>IF(Calculation!E20=Calculation!A147,Calculation!D20,"")</f>
        <v/>
      </c>
      <c r="D20" s="52" t="str">
        <f>IF(Calculation!E20=Calculation!A147,Calculation!C20,"")</f>
        <v/>
      </c>
      <c r="E20" s="52" t="str">
        <f>IF(Calculation!E20=Calculation!A147,Calculation!F20,"")</f>
        <v/>
      </c>
      <c r="F20" s="54" t="str">
        <f>IF(Calculation!E20=Calculation!A147,Calculation!G20,"")</f>
        <v/>
      </c>
      <c r="G20" s="54" t="str">
        <f>IF(Calculation!E20=Calculation!A147,Calculation!H20,"")</f>
        <v/>
      </c>
      <c r="H20" s="55"/>
      <c r="L20" s="77" t="s">
        <v>59</v>
      </c>
      <c r="O20" s="77" t="s">
        <v>60</v>
      </c>
      <c r="Q20" s="77" t="s">
        <v>61</v>
      </c>
      <c r="S20" s="69"/>
      <c r="T20" s="70"/>
    </row>
    <row r="21" ht="21.0" customHeight="1">
      <c r="A21" s="52" t="str">
        <f>IF(Calculation!E21=Calculation!A147,Calculation!B21,"")</f>
        <v/>
      </c>
      <c r="B21" s="53" t="str">
        <f>IF(Calculation!E21=Calculation!A147,Calculation!I21,"")</f>
        <v/>
      </c>
      <c r="C21" s="52" t="str">
        <f>IF(Calculation!E21=Calculation!A147,Calculation!D21,"")</f>
        <v/>
      </c>
      <c r="D21" s="52" t="str">
        <f>IF(Calculation!E21=Calculation!A147,Calculation!C21,"")</f>
        <v/>
      </c>
      <c r="E21" s="52" t="str">
        <f>IF(Calculation!E21=Calculation!A147,Calculation!F21,"")</f>
        <v/>
      </c>
      <c r="F21" s="54" t="str">
        <f>IF(Calculation!E21=Calculation!A147,Calculation!G21,"")</f>
        <v/>
      </c>
      <c r="G21" s="54" t="str">
        <f>IF(Calculation!E21=Calculation!A147,Calculation!H21,"")</f>
        <v/>
      </c>
      <c r="H21" s="55"/>
      <c r="L21" s="78" t="str">
        <f>Calculation!A147</f>
        <v>Sachu</v>
      </c>
      <c r="O21" s="78" t="str">
        <f>Calculation!A147</f>
        <v>Sachu</v>
      </c>
      <c r="Q21" s="79">
        <v>123456.0</v>
      </c>
      <c r="S21" s="69"/>
      <c r="T21" s="70"/>
    </row>
    <row r="22" ht="21.0" customHeight="1">
      <c r="A22" s="52" t="str">
        <f>IF(Calculation!E22=Calculation!A147,Calculation!B22,"")</f>
        <v/>
      </c>
      <c r="B22" s="53" t="str">
        <f>IF(Calculation!E22=Calculation!A147,Calculation!I22,"")</f>
        <v/>
      </c>
      <c r="C22" s="52" t="str">
        <f>IF(Calculation!E22=Calculation!A147,Calculation!D22,"")</f>
        <v/>
      </c>
      <c r="D22" s="52" t="str">
        <f>IF(Calculation!E22=Calculation!A147,Calculation!C22,"")</f>
        <v/>
      </c>
      <c r="E22" s="52" t="str">
        <f>IF(Calculation!E22=Calculation!A147,Calculation!F22,"")</f>
        <v/>
      </c>
      <c r="F22" s="54" t="str">
        <f>IF(Calculation!E22=Calculation!A147,Calculation!G22,"")</f>
        <v/>
      </c>
      <c r="G22" s="54" t="str">
        <f>IF(Calculation!E22=Calculation!A147,Calculation!H22,"")</f>
        <v/>
      </c>
      <c r="H22" s="55"/>
      <c r="L22" s="78" t="s">
        <v>62</v>
      </c>
      <c r="O22" s="72"/>
      <c r="Q22" s="62"/>
      <c r="S22" s="69"/>
      <c r="T22" s="70"/>
    </row>
    <row r="23" ht="20.25" customHeight="1">
      <c r="A23" s="52" t="str">
        <f>IF(Calculation!E23=Calculation!A147,Calculation!B23,"")</f>
        <v/>
      </c>
      <c r="B23" s="53" t="str">
        <f>IF(Calculation!E23=Calculation!A147,Calculation!I23,"")</f>
        <v/>
      </c>
      <c r="C23" s="52" t="str">
        <f>IF(Calculation!E23=Calculation!A147,Calculation!D23,"")</f>
        <v/>
      </c>
      <c r="D23" s="52" t="str">
        <f>IF(Calculation!E23=Calculation!A147,Calculation!C23,"")</f>
        <v/>
      </c>
      <c r="E23" s="52" t="str">
        <f>IF(Calculation!E23=Calculation!A147,Calculation!F23,"")</f>
        <v/>
      </c>
      <c r="F23" s="54" t="str">
        <f>IF(Calculation!E23=Calculation!A147,Calculation!G23,"")</f>
        <v/>
      </c>
      <c r="G23" s="54" t="str">
        <f>IF(Calculation!E23=Calculation!A147,Calculation!H23,"")</f>
        <v/>
      </c>
      <c r="H23" s="55"/>
      <c r="L23" s="78" t="s">
        <v>63</v>
      </c>
      <c r="O23" s="80" t="s">
        <v>64</v>
      </c>
      <c r="Q23" s="80" t="s">
        <v>65</v>
      </c>
      <c r="S23" s="69"/>
      <c r="T23" s="70"/>
    </row>
    <row r="24">
      <c r="A24" s="52" t="str">
        <f>IF(Calculation!E24=Calculation!A147,Calculation!B24,"")</f>
        <v/>
      </c>
      <c r="B24" s="53" t="str">
        <f>IF(Calculation!E24=Calculation!A147,Calculation!I24,"")</f>
        <v/>
      </c>
      <c r="C24" s="52" t="str">
        <f>IF(Calculation!E24=Calculation!A147,Calculation!D24,"")</f>
        <v/>
      </c>
      <c r="D24" s="52" t="str">
        <f>IF(Calculation!E24=Calculation!A147,Calculation!C24,"")</f>
        <v/>
      </c>
      <c r="E24" s="52" t="str">
        <f>IF(Calculation!E24=Calculation!A147,Calculation!F24,"")</f>
        <v/>
      </c>
      <c r="F24" s="54" t="str">
        <f>IF(Calculation!E24=Calculation!A147,Calculation!G24,"")</f>
        <v/>
      </c>
      <c r="G24" s="54" t="str">
        <f>IF(Calculation!E24=Calculation!A147,Calculation!H24,"")</f>
        <v/>
      </c>
      <c r="H24" s="55"/>
      <c r="L24" s="78" t="s">
        <v>66</v>
      </c>
      <c r="O24" s="78" t="s">
        <v>67</v>
      </c>
      <c r="Q24" s="75">
        <v>36531.0</v>
      </c>
      <c r="S24" s="69"/>
      <c r="T24" s="70"/>
    </row>
    <row r="25">
      <c r="A25" s="52" t="str">
        <f>IF(Calculation!E25=Calculation!A147,Calculation!B25,"")</f>
        <v/>
      </c>
      <c r="B25" s="53" t="str">
        <f>IF(Calculation!E25=Calculation!A147,Calculation!I25,"")</f>
        <v/>
      </c>
      <c r="C25" s="52" t="str">
        <f>IF(Calculation!E25=Calculation!A147,Calculation!D25,"")</f>
        <v/>
      </c>
      <c r="D25" s="52" t="str">
        <f>IF(Calculation!E25=Calculation!A147,Calculation!C25,"")</f>
        <v/>
      </c>
      <c r="E25" s="52" t="str">
        <f>IF(Calculation!E25=Calculation!A147,Calculation!F25,"")</f>
        <v/>
      </c>
      <c r="F25" s="54" t="str">
        <f>IF(Calculation!E25=Calculation!A147,Calculation!G25,"")</f>
        <v/>
      </c>
      <c r="G25" s="54" t="str">
        <f>IF(Calculation!E25=Calculation!A147,Calculation!H25,"")</f>
        <v/>
      </c>
      <c r="H25" s="55"/>
      <c r="L25" s="81"/>
      <c r="M25" s="82"/>
      <c r="N25" s="82"/>
      <c r="O25" s="81"/>
      <c r="P25" s="82"/>
      <c r="Q25" s="81"/>
      <c r="R25" s="82"/>
      <c r="S25" s="62"/>
      <c r="T25" s="64"/>
    </row>
    <row r="26">
      <c r="A26" s="52" t="str">
        <f>IF(Calculation!E26=Calculation!A147,Calculation!B26,"")</f>
        <v/>
      </c>
      <c r="B26" s="53" t="str">
        <f>IF(Calculation!E26=Calculation!A147,Calculation!I26,"")</f>
        <v/>
      </c>
      <c r="C26" s="52" t="str">
        <f>IF(Calculation!E26=Calculation!A147,Calculation!D26,"")</f>
        <v/>
      </c>
      <c r="D26" s="52" t="str">
        <f>IF(Calculation!E26=Calculation!A147,Calculation!C26,"")</f>
        <v/>
      </c>
      <c r="E26" s="52" t="str">
        <f>IF(Calculation!E26=Calculation!A147,Calculation!F26,"")</f>
        <v/>
      </c>
      <c r="F26" s="54" t="str">
        <f>IF(Calculation!E26=Calculation!A147,Calculation!G26,"")</f>
        <v/>
      </c>
      <c r="G26" s="54" t="str">
        <f>IF(Calculation!E26=Calculation!A147,Calculation!H26,"")</f>
        <v/>
      </c>
      <c r="H26" s="55"/>
      <c r="L26" s="62"/>
      <c r="M26" s="62"/>
      <c r="N26" s="62"/>
      <c r="O26" s="62"/>
      <c r="P26" s="69"/>
      <c r="Q26" s="62"/>
      <c r="R26" s="62"/>
      <c r="S26" s="69"/>
      <c r="T26" s="70"/>
    </row>
    <row r="27">
      <c r="A27" s="52" t="str">
        <f>IF(Calculation!E27=Calculation!A147,Calculation!B27,"")</f>
        <v/>
      </c>
      <c r="B27" s="53" t="str">
        <f>IF(Calculation!E27=Calculation!A147,Calculation!I27,"")</f>
        <v/>
      </c>
      <c r="C27" s="52" t="str">
        <f>IF(Calculation!E27=Calculation!A147,Calculation!D27,"")</f>
        <v/>
      </c>
      <c r="D27" s="52" t="str">
        <f>IF(Calculation!E27=Calculation!A147,Calculation!C27,"")</f>
        <v/>
      </c>
      <c r="E27" s="52" t="str">
        <f>IF(Calculation!E27=Calculation!A147,Calculation!F27,"")</f>
        <v/>
      </c>
      <c r="F27" s="54" t="str">
        <f>IF(Calculation!E27=Calculation!A147,Calculation!G27,"")</f>
        <v/>
      </c>
      <c r="G27" s="54" t="str">
        <f>IF(Calculation!E27=Calculation!A147,Calculation!H27,"")</f>
        <v/>
      </c>
      <c r="H27" s="55"/>
      <c r="L27" s="83" t="s">
        <v>68</v>
      </c>
      <c r="P27" s="84" t="s">
        <v>49</v>
      </c>
      <c r="Q27" s="84" t="s">
        <v>69</v>
      </c>
      <c r="R27" s="84" t="s">
        <v>70</v>
      </c>
      <c r="S27" s="69"/>
      <c r="T27" s="70"/>
    </row>
    <row r="28">
      <c r="A28" s="52" t="str">
        <f>IF(Calculation!E28=Calculation!A147,Calculation!B28,"")</f>
        <v/>
      </c>
      <c r="B28" s="53" t="str">
        <f>IF(Calculation!E28=Calculation!A147,Calculation!I28,"")</f>
        <v/>
      </c>
      <c r="C28" s="52" t="str">
        <f>IF(Calculation!E28=Calculation!A147,Calculation!D28,"")</f>
        <v/>
      </c>
      <c r="D28" s="52" t="str">
        <f>IF(Calculation!E28=Calculation!A147,Calculation!C28,"")</f>
        <v/>
      </c>
      <c r="E28" s="52" t="str">
        <f>IF(Calculation!E28=Calculation!A147,Calculation!F28,"")</f>
        <v/>
      </c>
      <c r="F28" s="54" t="str">
        <f>IF(Calculation!E28=Calculation!A147,Calculation!G28,"")</f>
        <v/>
      </c>
      <c r="G28" s="54" t="str">
        <f>IF(Calculation!E28=Calculation!A147,Calculation!H28,"")</f>
        <v/>
      </c>
      <c r="H28" s="55"/>
      <c r="L28" s="85" t="s">
        <v>34</v>
      </c>
      <c r="P28" s="86">
        <f>SUMIFS(Calculation!$F$3:$F$125,Calculation!$C$3:$C$125,"Short Video Design",Calculation!$E$3:$E$125,Calculation!A147)</f>
        <v>0</v>
      </c>
      <c r="Q28" s="87">
        <f>(Calculation!B147)</f>
        <v>35</v>
      </c>
      <c r="R28" s="88">
        <f t="shared" ref="R28:R32" si="1">product(P28,Q28)</f>
        <v>0</v>
      </c>
      <c r="S28" s="69"/>
      <c r="T28" s="70"/>
    </row>
    <row r="29">
      <c r="A29" s="52" t="str">
        <f>IF(Calculation!E29=Calculation!A147,Calculation!B29,"")</f>
        <v/>
      </c>
      <c r="B29" s="53" t="str">
        <f>IF(Calculation!E29=Calculation!A147,Calculation!I29,"")</f>
        <v/>
      </c>
      <c r="C29" s="52" t="str">
        <f>IF(Calculation!E29=Calculation!A147,Calculation!D29,"")</f>
        <v/>
      </c>
      <c r="D29" s="52" t="str">
        <f>IF(Calculation!E29=Calculation!A147,Calculation!C29,"")</f>
        <v/>
      </c>
      <c r="E29" s="52" t="str">
        <f>IF(Calculation!E29=Calculation!A147,Calculation!F29,"")</f>
        <v/>
      </c>
      <c r="F29" s="54" t="str">
        <f>IF(Calculation!E29=Calculation!A147,Calculation!G29,"")</f>
        <v/>
      </c>
      <c r="G29" s="54" t="str">
        <f>IF(Calculation!E29=Calculation!A147,Calculation!H29,"")</f>
        <v/>
      </c>
      <c r="H29" s="55"/>
      <c r="L29" s="89" t="s">
        <v>35</v>
      </c>
      <c r="P29" s="86">
        <f>SUMIFS(Calculation!$F$3:$F$125,Calculation!$C$3:$C$125,"Long Video Design",Calculation!$E$3:$E$125,Calculation!A147)</f>
        <v>0</v>
      </c>
      <c r="Q29" s="87">
        <f>(Calculation!C147)</f>
        <v>20</v>
      </c>
      <c r="R29" s="90">
        <f t="shared" si="1"/>
        <v>0</v>
      </c>
      <c r="S29" s="69"/>
      <c r="T29" s="70"/>
    </row>
    <row r="30">
      <c r="A30" s="52" t="str">
        <f>IF(Calculation!E30=Calculation!A147,Calculation!B30,"")</f>
        <v/>
      </c>
      <c r="B30" s="53" t="str">
        <f>IF(Calculation!E30=Calculation!A147,Calculation!I30,"")</f>
        <v/>
      </c>
      <c r="C30" s="52" t="str">
        <f>IF(Calculation!E30=Calculation!A147,Calculation!D30,"")</f>
        <v/>
      </c>
      <c r="D30" s="52" t="str">
        <f>IF(Calculation!E30=Calculation!A147,Calculation!C30,"")</f>
        <v/>
      </c>
      <c r="E30" s="52" t="str">
        <f>IF(Calculation!E30=Calculation!A147,Calculation!F30,"")</f>
        <v/>
      </c>
      <c r="F30" s="54" t="str">
        <f>IF(Calculation!E30=Calculation!A147,Calculation!G30,"")</f>
        <v/>
      </c>
      <c r="G30" s="54" t="str">
        <f>IF(Calculation!E30=Calculation!A147,Calculation!H30,"")</f>
        <v/>
      </c>
      <c r="H30" s="55"/>
      <c r="L30" s="91" t="s">
        <v>25</v>
      </c>
      <c r="P30" s="86">
        <f>SUMIFS(Calculation!$F$3:$F$125,Calculation!$C$3:$C$125,"Content for Poster",Calculation!$E$3:$E$125,Calculation!A147)</f>
        <v>0</v>
      </c>
      <c r="Q30" s="87">
        <f>(Calculation!D147)</f>
        <v>44</v>
      </c>
      <c r="R30" s="88">
        <f t="shared" si="1"/>
        <v>0</v>
      </c>
      <c r="S30" s="69"/>
      <c r="T30" s="70"/>
    </row>
    <row r="31">
      <c r="A31" s="52" t="str">
        <f>IF(Calculation!E31=Calculation!A147,Calculation!B31,"")</f>
        <v/>
      </c>
      <c r="B31" s="53" t="str">
        <f>IF(Calculation!E31=Calculation!A147,Calculation!I31,"")</f>
        <v/>
      </c>
      <c r="C31" s="52" t="str">
        <f>IF(Calculation!E31=Calculation!A147,Calculation!D31,"")</f>
        <v/>
      </c>
      <c r="D31" s="52" t="str">
        <f>IF(Calculation!E31=Calculation!A147,Calculation!C31,"")</f>
        <v/>
      </c>
      <c r="E31" s="52" t="str">
        <f>IF(Calculation!E31=Calculation!A147,Calculation!F31,"")</f>
        <v/>
      </c>
      <c r="F31" s="54" t="str">
        <f>IF(Calculation!E31=Calculation!A147,Calculation!G31,"")</f>
        <v/>
      </c>
      <c r="G31" s="54" t="str">
        <f>IF(Calculation!E31=Calculation!A147,Calculation!H31,"")</f>
        <v/>
      </c>
      <c r="H31" s="55"/>
      <c r="L31" s="92" t="s">
        <v>36</v>
      </c>
      <c r="P31" s="86">
        <f>SUMIFS(Calculation!$F$3:$F$125,Calculation!$C$3:$C$125,"Content for Video",Calculation!$E$3:$E$125,Calculation!A147)</f>
        <v>0</v>
      </c>
      <c r="Q31" s="87">
        <f>(Calculation!E147)</f>
        <v>44</v>
      </c>
      <c r="R31" s="90">
        <f t="shared" si="1"/>
        <v>0</v>
      </c>
      <c r="S31" s="69"/>
      <c r="T31" s="70"/>
    </row>
    <row r="32">
      <c r="A32" s="52" t="str">
        <f>IF(Calculation!E32=Calculation!A147,Calculation!B32,"")</f>
        <v/>
      </c>
      <c r="B32" s="53" t="str">
        <f>IF(Calculation!E32=Calculation!A147,Calculation!I32,"")</f>
        <v/>
      </c>
      <c r="C32" s="52" t="str">
        <f>IF(Calculation!E32=Calculation!A147,Calculation!D32,"")</f>
        <v/>
      </c>
      <c r="D32" s="52" t="str">
        <f>IF(Calculation!E32=Calculation!A147,Calculation!C32,"")</f>
        <v/>
      </c>
      <c r="E32" s="52" t="str">
        <f>IF(Calculation!E32=Calculation!A147,Calculation!F32,"")</f>
        <v/>
      </c>
      <c r="F32" s="54" t="str">
        <f>IF(Calculation!E32=Calculation!A147,Calculation!G32,"")</f>
        <v/>
      </c>
      <c r="G32" s="54" t="str">
        <f>IF(Calculation!E32=Calculation!A147,Calculation!H32,"")</f>
        <v/>
      </c>
      <c r="H32" s="55"/>
      <c r="L32" s="93" t="s">
        <v>16</v>
      </c>
      <c r="M32" s="93"/>
      <c r="N32" s="94"/>
      <c r="O32" s="94"/>
      <c r="P32" s="86">
        <f>SUMIFS(Calculation!$F$3:$F$125,Calculation!$C$3:$C$125,"Poster Design",Calculation!$E$3:$E$125,Calculation!A147)</f>
        <v>4</v>
      </c>
      <c r="Q32" s="95">
        <f>(Calculation!F147)</f>
        <v>44</v>
      </c>
      <c r="R32" s="96">
        <f t="shared" si="1"/>
        <v>176</v>
      </c>
      <c r="S32" s="69"/>
      <c r="T32" s="70"/>
    </row>
    <row r="33">
      <c r="A33" s="52" t="str">
        <f>IF(Calculation!E33=Calculation!A147,Calculation!B33,"")</f>
        <v/>
      </c>
      <c r="B33" s="53" t="str">
        <f>IF(Calculation!E33=Calculation!A147,Calculation!I33,"")</f>
        <v/>
      </c>
      <c r="C33" s="52" t="str">
        <f>IF(Calculation!E33=Calculation!A147,Calculation!D33,"")</f>
        <v/>
      </c>
      <c r="D33" s="52" t="str">
        <f>IF(Calculation!E33=Calculation!A147,Calculation!C33,"")</f>
        <v/>
      </c>
      <c r="E33" s="52" t="str">
        <f>IF(Calculation!E33=Calculation!A147,Calculation!F33,"")</f>
        <v/>
      </c>
      <c r="F33" s="54" t="str">
        <f>IF(Calculation!E33=Calculation!A147,Calculation!G33,"")</f>
        <v/>
      </c>
      <c r="G33" s="54" t="str">
        <f>IF(Calculation!E33=Calculation!A147,Calculation!H33,"")</f>
        <v/>
      </c>
      <c r="H33" s="55"/>
      <c r="L33" s="97" t="s">
        <v>71</v>
      </c>
      <c r="M33" s="97"/>
      <c r="N33" s="62"/>
      <c r="Q33" s="109" t="s">
        <v>72</v>
      </c>
      <c r="R33" s="99">
        <f>sum(R28:R32)</f>
        <v>176</v>
      </c>
      <c r="S33" s="62"/>
      <c r="T33" s="64"/>
    </row>
    <row r="34">
      <c r="A34" s="52" t="str">
        <f>IF(Calculation!E34=Calculation!A147,Calculation!B34,"")</f>
        <v/>
      </c>
      <c r="B34" s="53" t="str">
        <f>IF(Calculation!E34=Calculation!A147,Calculation!I34,"")</f>
        <v/>
      </c>
      <c r="C34" s="52" t="str">
        <f>IF(Calculation!E34=Calculation!A147,Calculation!D34,"")</f>
        <v/>
      </c>
      <c r="D34" s="52" t="str">
        <f>IF(Calculation!E34=Calculation!A147,Calculation!C34,"")</f>
        <v/>
      </c>
      <c r="E34" s="52" t="str">
        <f>IF(Calculation!E34=Calculation!A147,Calculation!F34,"")</f>
        <v/>
      </c>
      <c r="F34" s="54" t="str">
        <f>IF(Calculation!E34=Calculation!A147,Calculation!G34,"")</f>
        <v/>
      </c>
      <c r="G34" s="54" t="str">
        <f>IF(Calculation!E34=Calculation!A147,Calculation!H34,"")</f>
        <v/>
      </c>
      <c r="H34" s="55"/>
      <c r="L34" s="62"/>
      <c r="M34" s="62"/>
      <c r="N34" s="62"/>
      <c r="Q34" s="109" t="s">
        <v>73</v>
      </c>
      <c r="R34" s="100">
        <v>0.0</v>
      </c>
      <c r="S34" s="62"/>
      <c r="T34" s="64"/>
    </row>
    <row r="35">
      <c r="A35" s="52" t="str">
        <f>IF(Calculation!E35=Calculation!A147,Calculation!B35,"")</f>
        <v/>
      </c>
      <c r="B35" s="53" t="str">
        <f>IF(Calculation!E35=Calculation!A147,Calculation!I35,"")</f>
        <v/>
      </c>
      <c r="C35" s="52" t="str">
        <f>IF(Calculation!E35=Calculation!A147,Calculation!D35,"")</f>
        <v/>
      </c>
      <c r="D35" s="52" t="str">
        <f>IF(Calculation!E35=Calculation!A147,Calculation!C35,"")</f>
        <v/>
      </c>
      <c r="E35" s="52" t="str">
        <f>IF(Calculation!E35=Calculation!A147,Calculation!F35,"")</f>
        <v/>
      </c>
      <c r="F35" s="54" t="str">
        <f>IF(Calculation!E35=Calculation!A147,Calculation!G35,"")</f>
        <v/>
      </c>
      <c r="G35" s="54" t="str">
        <f>IF(Calculation!E35=Calculation!A147,Calculation!H35,"")</f>
        <v/>
      </c>
      <c r="H35" s="55"/>
      <c r="L35" s="69"/>
      <c r="M35" s="69"/>
      <c r="N35" s="69"/>
      <c r="O35" s="69"/>
      <c r="P35" s="69"/>
      <c r="Q35" s="101">
        <f>sum(R33,R34)</f>
        <v>176</v>
      </c>
      <c r="S35" s="69"/>
      <c r="T35" s="70"/>
    </row>
    <row r="36">
      <c r="A36" s="52" t="str">
        <f>IF(Calculation!E36=Calculation!A147,Calculation!B36,"")</f>
        <v/>
      </c>
      <c r="B36" s="53" t="str">
        <f>IF(Calculation!E36=Calculation!A147,Calculation!I36,"")</f>
        <v/>
      </c>
      <c r="C36" s="52" t="str">
        <f>IF(Calculation!E36=Calculation!A147,Calculation!D36,"")</f>
        <v/>
      </c>
      <c r="D36" s="52" t="str">
        <f>IF(Calculation!E36=Calculation!A147,Calculation!C36,"")</f>
        <v/>
      </c>
      <c r="E36" s="52" t="str">
        <f>IF(Calculation!E36=Calculation!A147,Calculation!F36,"")</f>
        <v/>
      </c>
      <c r="F36" s="54" t="str">
        <f>IF(Calculation!E36=Calculation!A147,Calculation!G36,"")</f>
        <v/>
      </c>
      <c r="G36" s="54" t="str">
        <f>IF(Calculation!E36=Calculation!A147,Calculation!H36,"")</f>
        <v/>
      </c>
      <c r="H36" s="55"/>
      <c r="L36" s="102"/>
      <c r="M36" s="102"/>
      <c r="N36" s="69"/>
      <c r="O36" s="69"/>
      <c r="P36" s="69"/>
      <c r="Q36" s="69"/>
      <c r="R36" s="69"/>
      <c r="S36" s="69"/>
      <c r="T36" s="70"/>
    </row>
    <row r="37">
      <c r="A37" s="52" t="str">
        <f>IF(Calculation!E37=Calculation!A147,Calculation!B37,"")</f>
        <v/>
      </c>
      <c r="B37" s="53" t="str">
        <f>IF(Calculation!E37=Calculation!A147,Calculation!I37,"")</f>
        <v/>
      </c>
      <c r="C37" s="52" t="str">
        <f>IF(Calculation!E37=Calculation!A147,Calculation!D37,"")</f>
        <v/>
      </c>
      <c r="D37" s="52" t="str">
        <f>IF(Calculation!E37=Calculation!A147,Calculation!C37,"")</f>
        <v/>
      </c>
      <c r="E37" s="52" t="str">
        <f>IF(Calculation!E37=Calculation!A147,Calculation!F37,"")</f>
        <v/>
      </c>
      <c r="F37" s="54" t="str">
        <f>IF(Calculation!E37=Calculation!A147,Calculation!G37,"")</f>
        <v/>
      </c>
      <c r="G37" s="54" t="str">
        <f>IF(Calculation!E37=Calculation!A147,Calculation!H37,"")</f>
        <v/>
      </c>
      <c r="H37" s="55"/>
      <c r="T37" s="103"/>
    </row>
    <row r="38">
      <c r="A38" s="52" t="str">
        <f>IF(Calculation!E38=Calculation!A147,Calculation!B38,"")</f>
        <v/>
      </c>
      <c r="B38" s="53" t="str">
        <f>IF(Calculation!E38=Calculation!A147,Calculation!I38,"")</f>
        <v/>
      </c>
      <c r="C38" s="52" t="str">
        <f>IF(Calculation!E38=Calculation!A147,Calculation!D38,"")</f>
        <v/>
      </c>
      <c r="D38" s="52" t="str">
        <f>IF(Calculation!E38=Calculation!A147,Calculation!C38,"")</f>
        <v/>
      </c>
      <c r="E38" s="52" t="str">
        <f>IF(Calculation!E38=Calculation!A147,Calculation!F38,"")</f>
        <v/>
      </c>
      <c r="F38" s="54" t="str">
        <f>IF(Calculation!E38=Calculation!A147,Calculation!G38,"")</f>
        <v/>
      </c>
      <c r="G38" s="54" t="str">
        <f>IF(Calculation!E38=Calculation!A147,Calculation!H38,"")</f>
        <v/>
      </c>
      <c r="H38" s="55"/>
      <c r="T38" s="103"/>
    </row>
    <row r="39">
      <c r="A39" s="52" t="str">
        <f>IF(Calculation!E39=Calculation!A147,Calculation!B39,"")</f>
        <v/>
      </c>
      <c r="B39" s="53" t="str">
        <f>IF(Calculation!E39=Calculation!A147,Calculation!I39,"")</f>
        <v/>
      </c>
      <c r="C39" s="52" t="str">
        <f>IF(Calculation!E39=Calculation!A147,Calculation!D39,"")</f>
        <v/>
      </c>
      <c r="D39" s="52" t="str">
        <f>IF(Calculation!E39=Calculation!A147,Calculation!C39,"")</f>
        <v/>
      </c>
      <c r="E39" s="52" t="str">
        <f>IF(Calculation!E39=Calculation!A147,Calculation!F39,"")</f>
        <v/>
      </c>
      <c r="F39" s="54" t="str">
        <f>IF(Calculation!E39=Calculation!A147,Calculation!G39,"")</f>
        <v/>
      </c>
      <c r="G39" s="54" t="str">
        <f>IF(Calculation!E39=Calculation!A147,Calculation!H39,"")</f>
        <v/>
      </c>
      <c r="H39" s="55"/>
      <c r="T39" s="103"/>
    </row>
    <row r="40">
      <c r="A40" s="52" t="str">
        <f>IF(Calculation!E40=Calculation!A147,Calculation!B40,"")</f>
        <v/>
      </c>
      <c r="B40" s="53" t="str">
        <f>IF(Calculation!E40=Calculation!A147,Calculation!I40,"")</f>
        <v/>
      </c>
      <c r="C40" s="52" t="str">
        <f>IF(Calculation!E40=Calculation!A147,Calculation!D40,"")</f>
        <v/>
      </c>
      <c r="D40" s="52" t="str">
        <f>IF(Calculation!E40=Calculation!A147,Calculation!C40,"")</f>
        <v/>
      </c>
      <c r="E40" s="52" t="str">
        <f>IF(Calculation!E40=Calculation!A147,Calculation!F40,"")</f>
        <v/>
      </c>
      <c r="F40" s="54" t="str">
        <f>IF(Calculation!E40=Calculation!A147,Calculation!G40,"")</f>
        <v/>
      </c>
      <c r="G40" s="54" t="str">
        <f>IF(Calculation!E40=Calculation!A147,Calculation!H40,"")</f>
        <v/>
      </c>
      <c r="H40" s="55"/>
      <c r="T40" s="103"/>
    </row>
    <row r="41">
      <c r="A41" s="52" t="str">
        <f>IF(Calculation!E41=Calculation!A147,Calculation!B41,"")</f>
        <v/>
      </c>
      <c r="B41" s="53" t="str">
        <f>IF(Calculation!E41=Calculation!A147,Calculation!I41,"")</f>
        <v/>
      </c>
      <c r="C41" s="52" t="str">
        <f>IF(Calculation!E41=Calculation!A147,Calculation!D41,"")</f>
        <v/>
      </c>
      <c r="D41" s="52" t="str">
        <f>IF(Calculation!E41=Calculation!A147,Calculation!C41,"")</f>
        <v/>
      </c>
      <c r="E41" s="52" t="str">
        <f>IF(Calculation!E41=Calculation!A147,Calculation!F41,"")</f>
        <v/>
      </c>
      <c r="F41" s="54" t="str">
        <f>IF(Calculation!E41=Calculation!A147,Calculation!G41,"")</f>
        <v/>
      </c>
      <c r="G41" s="54" t="str">
        <f>IF(Calculation!E41=Calculation!A147,Calculation!H41,"")</f>
        <v/>
      </c>
      <c r="H41" s="55"/>
      <c r="T41" s="103"/>
    </row>
    <row r="42">
      <c r="A42" s="52" t="str">
        <f>IF(Calculation!E42=Calculation!A147,Calculation!B42,"")</f>
        <v/>
      </c>
      <c r="B42" s="53" t="str">
        <f>IF(Calculation!E42=Calculation!A147,Calculation!I42,"")</f>
        <v/>
      </c>
      <c r="C42" s="52" t="str">
        <f>IF(Calculation!E42=Calculation!A147,Calculation!D42,"")</f>
        <v/>
      </c>
      <c r="D42" s="52" t="str">
        <f>IF(Calculation!E42=Calculation!A147,Calculation!C42,"")</f>
        <v/>
      </c>
      <c r="E42" s="52" t="str">
        <f>IF(Calculation!E42=Calculation!A147,Calculation!F42,"")</f>
        <v/>
      </c>
      <c r="F42" s="54" t="str">
        <f>IF(Calculation!E42=Calculation!A147,Calculation!G42,"")</f>
        <v/>
      </c>
      <c r="G42" s="54" t="str">
        <f>IF(Calculation!E42=Calculation!A147,Calculation!H42,"")</f>
        <v/>
      </c>
      <c r="H42" s="55"/>
      <c r="T42" s="103"/>
    </row>
    <row r="43">
      <c r="A43" s="52" t="str">
        <f>IF(Calculation!E43=Calculation!A147,Calculation!B43,"")</f>
        <v/>
      </c>
      <c r="B43" s="53" t="str">
        <f>IF(Calculation!E43=Calculation!A147,Calculation!I43,"")</f>
        <v/>
      </c>
      <c r="C43" s="52" t="str">
        <f>IF(Calculation!E43=Calculation!A147,Calculation!D43,"")</f>
        <v/>
      </c>
      <c r="D43" s="52" t="str">
        <f>IF(Calculation!E43=Calculation!A147,Calculation!C43,"")</f>
        <v/>
      </c>
      <c r="E43" s="52" t="str">
        <f>IF(Calculation!E43=Calculation!A147,Calculation!F43,"")</f>
        <v/>
      </c>
      <c r="F43" s="54" t="str">
        <f>IF(Calculation!E43=Calculation!A147,Calculation!G43,"")</f>
        <v/>
      </c>
      <c r="G43" s="54" t="str">
        <f>IF(Calculation!E43=Calculation!A147,Calculation!H43,"")</f>
        <v/>
      </c>
      <c r="H43" s="55"/>
      <c r="T43" s="103"/>
    </row>
    <row r="44">
      <c r="A44" s="52" t="str">
        <f>IF(Calculation!E44=Calculation!A147,Calculation!B44,"")</f>
        <v/>
      </c>
      <c r="B44" s="53" t="str">
        <f>IF(Calculation!E44=Calculation!A147,Calculation!I44,"")</f>
        <v/>
      </c>
      <c r="C44" s="52" t="str">
        <f>IF(Calculation!E44=Calculation!A147,Calculation!D44,"")</f>
        <v/>
      </c>
      <c r="D44" s="52" t="str">
        <f>IF(Calculation!E44=Calculation!A147,Calculation!C44,"")</f>
        <v/>
      </c>
      <c r="E44" s="52" t="str">
        <f>IF(Calculation!E44=Calculation!A147,Calculation!F44,"")</f>
        <v/>
      </c>
      <c r="F44" s="54" t="str">
        <f>IF(Calculation!E44=Calculation!A147,Calculation!G44,"")</f>
        <v/>
      </c>
      <c r="G44" s="54" t="str">
        <f>IF(Calculation!E44=Calculation!A147,Calculation!H44,"")</f>
        <v/>
      </c>
      <c r="H44" s="55"/>
      <c r="T44" s="103"/>
    </row>
    <row r="45">
      <c r="A45" s="52" t="str">
        <f>IF(Calculation!E45=Calculation!A147,Calculation!B45,"")</f>
        <v/>
      </c>
      <c r="B45" s="53" t="str">
        <f>IF(Calculation!E45=Calculation!A147,Calculation!I45,"")</f>
        <v/>
      </c>
      <c r="C45" s="52" t="str">
        <f>IF(Calculation!E45=Calculation!A147,Calculation!D45,"")</f>
        <v/>
      </c>
      <c r="D45" s="52" t="str">
        <f>IF(Calculation!E45=Calculation!A147,Calculation!C45,"")</f>
        <v/>
      </c>
      <c r="E45" s="52" t="str">
        <f>IF(Calculation!E45=Calculation!A147,Calculation!F45,"")</f>
        <v/>
      </c>
      <c r="F45" s="54" t="str">
        <f>IF(Calculation!E45=Calculation!A147,Calculation!G45,"")</f>
        <v/>
      </c>
      <c r="G45" s="54" t="str">
        <f>IF(Calculation!E45=Calculation!A147,Calculation!H45,"")</f>
        <v/>
      </c>
      <c r="H45" s="55"/>
      <c r="T45" s="103"/>
    </row>
    <row r="46">
      <c r="A46" s="52" t="str">
        <f>IF(Calculation!E46=Calculation!A147,Calculation!B46,"")</f>
        <v/>
      </c>
      <c r="B46" s="53" t="str">
        <f>IF(Calculation!E46=Calculation!A147,Calculation!I46,"")</f>
        <v/>
      </c>
      <c r="C46" s="52" t="str">
        <f>IF(Calculation!E46=Calculation!A147,Calculation!D46,"")</f>
        <v/>
      </c>
      <c r="D46" s="52" t="str">
        <f>IF(Calculation!E46=Calculation!A147,Calculation!C46,"")</f>
        <v/>
      </c>
      <c r="E46" s="52" t="str">
        <f>IF(Calculation!E46=Calculation!A147,Calculation!F46,"")</f>
        <v/>
      </c>
      <c r="F46" s="54" t="str">
        <f>IF(Calculation!E46=Calculation!A147,Calculation!G46,"")</f>
        <v/>
      </c>
      <c r="G46" s="54" t="str">
        <f>IF(Calculation!E46=Calculation!A147,Calculation!H46,"")</f>
        <v/>
      </c>
      <c r="H46" s="55"/>
      <c r="T46" s="103"/>
    </row>
    <row r="47">
      <c r="A47" s="52" t="str">
        <f>IF(Calculation!E47=Calculation!A147,Calculation!B47,"")</f>
        <v/>
      </c>
      <c r="B47" s="53" t="str">
        <f>IF(Calculation!E47=Calculation!A147,Calculation!I47,"")</f>
        <v/>
      </c>
      <c r="C47" s="52" t="str">
        <f>IF(Calculation!E47=Calculation!A147,Calculation!D47,"")</f>
        <v/>
      </c>
      <c r="D47" s="52" t="str">
        <f>IF(Calculation!E47=Calculation!A147,Calculation!C47,"")</f>
        <v/>
      </c>
      <c r="E47" s="52" t="str">
        <f>IF(Calculation!E47=Calculation!A147,Calculation!F47,"")</f>
        <v/>
      </c>
      <c r="F47" s="54" t="str">
        <f>IF(Calculation!E47=Calculation!A147,Calculation!G47,"")</f>
        <v/>
      </c>
      <c r="G47" s="54" t="str">
        <f>IF(Calculation!E47=Calculation!A147,Calculation!H47,"")</f>
        <v/>
      </c>
      <c r="H47" s="55"/>
      <c r="T47" s="103"/>
    </row>
    <row r="48">
      <c r="A48" s="52" t="str">
        <f>IF(Calculation!E48=Calculation!A147,Calculation!B48,"")</f>
        <v/>
      </c>
      <c r="B48" s="53" t="str">
        <f>IF(Calculation!E48=Calculation!A147,Calculation!I48,"")</f>
        <v/>
      </c>
      <c r="C48" s="52" t="str">
        <f>IF(Calculation!E48=Calculation!A147,Calculation!D48,"")</f>
        <v/>
      </c>
      <c r="D48" s="52" t="str">
        <f>IF(Calculation!E48=Calculation!A147,Calculation!C48,"")</f>
        <v/>
      </c>
      <c r="E48" s="52" t="str">
        <f>IF(Calculation!E48=Calculation!A147,Calculation!F48,"")</f>
        <v/>
      </c>
      <c r="F48" s="54" t="str">
        <f>IF(Calculation!E48=Calculation!A147,Calculation!G48,"")</f>
        <v/>
      </c>
      <c r="G48" s="54" t="str">
        <f>IF(Calculation!E48=Calculation!A147,Calculation!H48,"")</f>
        <v/>
      </c>
      <c r="H48" s="55"/>
      <c r="T48" s="103"/>
    </row>
    <row r="49">
      <c r="A49" s="52" t="str">
        <f>IF(Calculation!E49=Calculation!A147,Calculation!B49,"")</f>
        <v/>
      </c>
      <c r="B49" s="53" t="str">
        <f>IF(Calculation!E49=Calculation!A147,Calculation!I49,"")</f>
        <v/>
      </c>
      <c r="C49" s="52" t="str">
        <f>IF(Calculation!E49=Calculation!A147,Calculation!D49,"")</f>
        <v/>
      </c>
      <c r="D49" s="52" t="str">
        <f>IF(Calculation!E49=Calculation!A147,Calculation!C49,"")</f>
        <v/>
      </c>
      <c r="E49" s="52" t="str">
        <f>IF(Calculation!E49=Calculation!A147,Calculation!F49,"")</f>
        <v/>
      </c>
      <c r="F49" s="54" t="str">
        <f>IF(Calculation!E49=Calculation!A147,Calculation!G49,"")</f>
        <v/>
      </c>
      <c r="G49" s="54" t="str">
        <f>IF(Calculation!E49=Calculation!A147,Calculation!H49,"")</f>
        <v/>
      </c>
      <c r="H49" s="55"/>
      <c r="L49" s="104"/>
      <c r="M49" s="104"/>
      <c r="N49" s="104"/>
      <c r="O49" s="104"/>
      <c r="P49" s="104"/>
      <c r="Q49" s="104"/>
      <c r="R49" s="104"/>
      <c r="S49" s="104"/>
      <c r="T49" s="105"/>
    </row>
    <row r="50">
      <c r="A50" s="52" t="str">
        <f>IF(Calculation!E50=Calculation!$A$147,Calculation!B50,"")</f>
        <v/>
      </c>
      <c r="B50" s="53" t="str">
        <f>IF(Calculation!E50=Calculation!$A$147,Calculation!I50,"")</f>
        <v/>
      </c>
      <c r="C50" s="52" t="str">
        <f>IF(Calculation!E50=Calculation!$A$147,Calculation!D50,"")</f>
        <v/>
      </c>
      <c r="D50" s="52" t="str">
        <f>IF(Calculation!E50=Calculation!$A$147,Calculation!C50,"")</f>
        <v/>
      </c>
      <c r="E50" s="52" t="str">
        <f>IF(Calculation!E50=Calculation!$A$147,Calculation!F50,"")</f>
        <v/>
      </c>
      <c r="F50" s="54" t="str">
        <f>IF(Calculation!E50=Calculation!$A$147,Calculation!G50,"")</f>
        <v/>
      </c>
      <c r="G50" s="54" t="str">
        <f>IF(Calculation!E50=Calculation!$A$147,Calculation!H50,"")</f>
        <v/>
      </c>
      <c r="H50" s="55"/>
    </row>
    <row r="51">
      <c r="A51" s="52" t="str">
        <f>IF(Calculation!E51=Calculation!$A$147,Calculation!B51,"")</f>
        <v/>
      </c>
      <c r="B51" s="53" t="str">
        <f>IF(Calculation!E51=Calculation!$A$147,Calculation!I51,"")</f>
        <v/>
      </c>
      <c r="C51" s="52" t="str">
        <f>IF(Calculation!E51=Calculation!$A$147,Calculation!D51,"")</f>
        <v/>
      </c>
      <c r="D51" s="52" t="str">
        <f>IF(Calculation!E51=Calculation!$A$147,Calculation!C51,"")</f>
        <v/>
      </c>
      <c r="E51" s="52" t="str">
        <f>IF(Calculation!E51=Calculation!$A$147,Calculation!F51,"")</f>
        <v/>
      </c>
      <c r="F51" s="54" t="str">
        <f>IF(Calculation!E51=Calculation!$A$147,Calculation!G51,"")</f>
        <v/>
      </c>
      <c r="G51" s="54" t="str">
        <f>IF(Calculation!E51=Calculation!$A$147,Calculation!H51,"")</f>
        <v/>
      </c>
      <c r="H51" s="55"/>
    </row>
    <row r="52">
      <c r="A52" s="52" t="str">
        <f>IF(Calculation!E52=Calculation!$A$147,Calculation!B52,"")</f>
        <v/>
      </c>
      <c r="B52" s="53" t="str">
        <f>IF(Calculation!E52=Calculation!$A$147,Calculation!I52,"")</f>
        <v/>
      </c>
      <c r="C52" s="52" t="str">
        <f>IF(Calculation!E52=Calculation!$A$147,Calculation!D52,"")</f>
        <v/>
      </c>
      <c r="D52" s="52" t="str">
        <f>IF(Calculation!E52=Calculation!$A$147,Calculation!C52,"")</f>
        <v/>
      </c>
      <c r="E52" s="52" t="str">
        <f>IF(Calculation!E52=Calculation!$A$147,Calculation!F52,"")</f>
        <v/>
      </c>
      <c r="F52" s="54" t="str">
        <f>IF(Calculation!E52=Calculation!$A$147,Calculation!G52,"")</f>
        <v/>
      </c>
      <c r="G52" s="54" t="str">
        <f>IF(Calculation!E52=Calculation!$A$147,Calculation!H52,"")</f>
        <v/>
      </c>
      <c r="H52" s="55"/>
    </row>
    <row r="53">
      <c r="A53" s="52" t="str">
        <f>IF(Calculation!E53=Calculation!$A$147,Calculation!B53,"")</f>
        <v/>
      </c>
      <c r="B53" s="53" t="str">
        <f>IF(Calculation!E53=Calculation!$A$147,Calculation!I53,"")</f>
        <v/>
      </c>
      <c r="C53" s="52" t="str">
        <f>IF(Calculation!E53=Calculation!$A$147,Calculation!D53,"")</f>
        <v/>
      </c>
      <c r="D53" s="52" t="str">
        <f>IF(Calculation!E53=Calculation!$A$147,Calculation!C53,"")</f>
        <v/>
      </c>
      <c r="E53" s="52" t="str">
        <f>IF(Calculation!E53=Calculation!$A$147,Calculation!F53,"")</f>
        <v/>
      </c>
      <c r="F53" s="54" t="str">
        <f>IF(Calculation!E53=Calculation!$A$147,Calculation!G53,"")</f>
        <v/>
      </c>
      <c r="G53" s="54" t="str">
        <f>IF(Calculation!E53=Calculation!$A$147,Calculation!H53,"")</f>
        <v/>
      </c>
      <c r="H53" s="55"/>
    </row>
    <row r="54">
      <c r="A54" s="52" t="str">
        <f>IF(Calculation!E54=Calculation!$A$147,Calculation!B54,"")</f>
        <v/>
      </c>
      <c r="B54" s="53" t="str">
        <f>IF(Calculation!E54=Calculation!$A$147,Calculation!I54,"")</f>
        <v/>
      </c>
      <c r="C54" s="52" t="str">
        <f>IF(Calculation!E54=Calculation!$A$147,Calculation!D54,"")</f>
        <v/>
      </c>
      <c r="D54" s="52" t="str">
        <f>IF(Calculation!E54=Calculation!$A$147,Calculation!C54,"")</f>
        <v/>
      </c>
      <c r="E54" s="52" t="str">
        <f>IF(Calculation!E54=Calculation!$A$147,Calculation!F54,"")</f>
        <v/>
      </c>
      <c r="F54" s="54" t="str">
        <f>IF(Calculation!E54=Calculation!$A$147,Calculation!G54,"")</f>
        <v/>
      </c>
      <c r="G54" s="54" t="str">
        <f>IF(Calculation!E54=Calculation!$A$147,Calculation!H54,"")</f>
        <v/>
      </c>
      <c r="H54" s="55"/>
    </row>
    <row r="55">
      <c r="A55" s="52" t="str">
        <f>IF(Calculation!E55=Calculation!$A$147,Calculation!B55,"")</f>
        <v/>
      </c>
      <c r="B55" s="53" t="str">
        <f>IF(Calculation!E55=Calculation!$A$147,Calculation!I55,"")</f>
        <v/>
      </c>
      <c r="C55" s="52" t="str">
        <f>IF(Calculation!E55=Calculation!$A$147,Calculation!D55,"")</f>
        <v/>
      </c>
      <c r="D55" s="52" t="str">
        <f>IF(Calculation!E55=Calculation!$A$147,Calculation!C55,"")</f>
        <v/>
      </c>
      <c r="E55" s="52" t="str">
        <f>IF(Calculation!E55=Calculation!$A$147,Calculation!F55,"")</f>
        <v/>
      </c>
      <c r="F55" s="54" t="str">
        <f>IF(Calculation!E55=Calculation!$A$147,Calculation!G55,"")</f>
        <v/>
      </c>
      <c r="G55" s="54" t="str">
        <f>IF(Calculation!E55=Calculation!$A$147,Calculation!H55,"")</f>
        <v/>
      </c>
      <c r="H55" s="55"/>
    </row>
    <row r="56">
      <c r="A56" s="52" t="str">
        <f>IF(Calculation!E56=Calculation!$A$147,Calculation!B56,"")</f>
        <v/>
      </c>
      <c r="B56" s="53" t="str">
        <f>IF(Calculation!E56=Calculation!$A$147,Calculation!I56,"")</f>
        <v/>
      </c>
      <c r="C56" s="52" t="str">
        <f>IF(Calculation!E56=Calculation!$A$147,Calculation!D56,"")</f>
        <v/>
      </c>
      <c r="D56" s="52" t="str">
        <f>IF(Calculation!E56=Calculation!$A$147,Calculation!C56,"")</f>
        <v/>
      </c>
      <c r="E56" s="52" t="str">
        <f>IF(Calculation!E56=Calculation!$A$147,Calculation!F56,"")</f>
        <v/>
      </c>
      <c r="F56" s="54" t="str">
        <f>IF(Calculation!E56=Calculation!$A$147,Calculation!G56,"")</f>
        <v/>
      </c>
      <c r="G56" s="54" t="str">
        <f>IF(Calculation!E56=Calculation!$A$147,Calculation!H56,"")</f>
        <v/>
      </c>
      <c r="H56" s="55"/>
    </row>
    <row r="57">
      <c r="A57" s="52" t="str">
        <f>IF(Calculation!E57=Calculation!$A$147,Calculation!B57,"")</f>
        <v/>
      </c>
      <c r="B57" s="53" t="str">
        <f>IF(Calculation!E57=Calculation!$A$147,Calculation!I57,"")</f>
        <v/>
      </c>
      <c r="C57" s="52" t="str">
        <f>IF(Calculation!E57=Calculation!$A$147,Calculation!D57,"")</f>
        <v/>
      </c>
      <c r="D57" s="52" t="str">
        <f>IF(Calculation!E57=Calculation!$A$147,Calculation!C57,"")</f>
        <v/>
      </c>
      <c r="E57" s="52" t="str">
        <f>IF(Calculation!E57=Calculation!$A$147,Calculation!F57,"")</f>
        <v/>
      </c>
      <c r="F57" s="54" t="str">
        <f>IF(Calculation!E57=Calculation!$A$147,Calculation!G57,"")</f>
        <v/>
      </c>
      <c r="G57" s="54" t="str">
        <f>IF(Calculation!E57=Calculation!$A$147,Calculation!H57,"")</f>
        <v/>
      </c>
      <c r="H57" s="55"/>
    </row>
    <row r="58">
      <c r="A58" s="52" t="str">
        <f>IF(Calculation!E58=Calculation!$A$147,Calculation!B58,"")</f>
        <v/>
      </c>
      <c r="B58" s="53" t="str">
        <f>IF(Calculation!E58=Calculation!$A$147,Calculation!I58,"")</f>
        <v/>
      </c>
      <c r="C58" s="52" t="str">
        <f>IF(Calculation!E58=Calculation!$A$147,Calculation!D58,"")</f>
        <v/>
      </c>
      <c r="D58" s="52" t="str">
        <f>IF(Calculation!E58=Calculation!$A$147,Calculation!C58,"")</f>
        <v/>
      </c>
      <c r="E58" s="52" t="str">
        <f>IF(Calculation!E58=Calculation!$A$147,Calculation!F58,"")</f>
        <v/>
      </c>
      <c r="F58" s="54" t="str">
        <f>IF(Calculation!E58=Calculation!$A$147,Calculation!G58,"")</f>
        <v/>
      </c>
      <c r="G58" s="54" t="str">
        <f>IF(Calculation!E58=Calculation!$A$147,Calculation!H58,"")</f>
        <v/>
      </c>
      <c r="H58" s="55"/>
    </row>
    <row r="59">
      <c r="A59" s="52" t="str">
        <f>IF(Calculation!E59=Calculation!$A$147,Calculation!B59,"")</f>
        <v/>
      </c>
      <c r="B59" s="53" t="str">
        <f>IF(Calculation!E59=Calculation!$A$147,Calculation!I59,"")</f>
        <v/>
      </c>
      <c r="C59" s="52" t="str">
        <f>IF(Calculation!E59=Calculation!$A$147,Calculation!D59,"")</f>
        <v/>
      </c>
      <c r="D59" s="52" t="str">
        <f>IF(Calculation!E59=Calculation!$A$147,Calculation!C59,"")</f>
        <v/>
      </c>
      <c r="E59" s="52" t="str">
        <f>IF(Calculation!E59=Calculation!$A$147,Calculation!F59,"")</f>
        <v/>
      </c>
      <c r="F59" s="54" t="str">
        <f>IF(Calculation!E59=Calculation!$A$147,Calculation!G59,"")</f>
        <v/>
      </c>
      <c r="G59" s="54" t="str">
        <f>IF(Calculation!E59=Calculation!$A$147,Calculation!H59,"")</f>
        <v/>
      </c>
      <c r="H59" s="55"/>
    </row>
    <row r="60">
      <c r="A60" s="52" t="str">
        <f>IF(Calculation!E60=Calculation!$A$147,Calculation!B60,"")</f>
        <v/>
      </c>
      <c r="B60" s="53" t="str">
        <f>IF(Calculation!E60=Calculation!$A$147,Calculation!I60,"")</f>
        <v/>
      </c>
      <c r="C60" s="52" t="str">
        <f>IF(Calculation!E60=Calculation!$A$147,Calculation!D60,"")</f>
        <v/>
      </c>
      <c r="D60" s="52" t="str">
        <f>IF(Calculation!E60=Calculation!$A$147,Calculation!C60,"")</f>
        <v/>
      </c>
      <c r="E60" s="52" t="str">
        <f>IF(Calculation!E60=Calculation!$A$147,Calculation!F60,"")</f>
        <v/>
      </c>
      <c r="F60" s="54" t="str">
        <f>IF(Calculation!E60=Calculation!$A$147,Calculation!G60,"")</f>
        <v/>
      </c>
      <c r="G60" s="54" t="str">
        <f>IF(Calculation!E60=Calculation!$A$147,Calculation!H60,"")</f>
        <v/>
      </c>
      <c r="H60" s="55"/>
    </row>
    <row r="61">
      <c r="A61" s="52" t="str">
        <f>IF(Calculation!E61=Calculation!$A$147,Calculation!B61,"")</f>
        <v/>
      </c>
      <c r="B61" s="53" t="str">
        <f>IF(Calculation!E61=Calculation!$A$147,Calculation!I61,"")</f>
        <v/>
      </c>
      <c r="C61" s="52" t="str">
        <f>IF(Calculation!E61=Calculation!$A$147,Calculation!D61,"")</f>
        <v/>
      </c>
      <c r="D61" s="52" t="str">
        <f>IF(Calculation!E61=Calculation!$A$147,Calculation!C61,"")</f>
        <v/>
      </c>
      <c r="E61" s="52" t="str">
        <f>IF(Calculation!E61=Calculation!$A$147,Calculation!F61,"")</f>
        <v/>
      </c>
      <c r="F61" s="54" t="str">
        <f>IF(Calculation!E61=Calculation!$A$147,Calculation!G61,"")</f>
        <v/>
      </c>
      <c r="G61" s="54" t="str">
        <f>IF(Calculation!E61=Calculation!$A$147,Calculation!H61,"")</f>
        <v/>
      </c>
      <c r="H61" s="55"/>
    </row>
    <row r="62">
      <c r="A62" s="52" t="str">
        <f>IF(Calculation!E62=Calculation!$A$147,Calculation!B62,"")</f>
        <v/>
      </c>
      <c r="B62" s="53" t="str">
        <f>IF(Calculation!E62=Calculation!$A$147,Calculation!I62,"")</f>
        <v/>
      </c>
      <c r="C62" s="52" t="str">
        <f>IF(Calculation!E62=Calculation!$A$147,Calculation!D62,"")</f>
        <v/>
      </c>
      <c r="D62" s="52" t="str">
        <f>IF(Calculation!E62=Calculation!$A$147,Calculation!C62,"")</f>
        <v/>
      </c>
      <c r="E62" s="52" t="str">
        <f>IF(Calculation!E62=Calculation!$A$147,Calculation!F62,"")</f>
        <v/>
      </c>
      <c r="F62" s="54" t="str">
        <f>IF(Calculation!E62=Calculation!$A$147,Calculation!G62,"")</f>
        <v/>
      </c>
      <c r="G62" s="54" t="str">
        <f>IF(Calculation!E62=Calculation!$A$147,Calculation!H62,"")</f>
        <v/>
      </c>
      <c r="H62" s="55"/>
    </row>
    <row r="63">
      <c r="A63" s="52" t="str">
        <f>IF(Calculation!E63=Calculation!$A$147,Calculation!B63,"")</f>
        <v/>
      </c>
      <c r="B63" s="53" t="str">
        <f>IF(Calculation!E63=Calculation!$A$147,Calculation!I63,"")</f>
        <v/>
      </c>
      <c r="C63" s="52" t="str">
        <f>IF(Calculation!E63=Calculation!$A$147,Calculation!D63,"")</f>
        <v/>
      </c>
      <c r="D63" s="52" t="str">
        <f>IF(Calculation!E63=Calculation!$A$147,Calculation!C63,"")</f>
        <v/>
      </c>
      <c r="E63" s="52" t="str">
        <f>IF(Calculation!E63=Calculation!$A$147,Calculation!F63,"")</f>
        <v/>
      </c>
      <c r="F63" s="54" t="str">
        <f>IF(Calculation!E63=Calculation!$A$147,Calculation!G63,"")</f>
        <v/>
      </c>
      <c r="G63" s="54" t="str">
        <f>IF(Calculation!E63=Calculation!$A$147,Calculation!H63,"")</f>
        <v/>
      </c>
      <c r="H63" s="55"/>
    </row>
    <row r="64">
      <c r="A64" s="52" t="str">
        <f>IF(Calculation!E64=Calculation!$A$147,Calculation!B64,"")</f>
        <v/>
      </c>
      <c r="B64" s="53" t="str">
        <f>IF(Calculation!E64=Calculation!$A$147,Calculation!I64,"")</f>
        <v/>
      </c>
      <c r="C64" s="52" t="str">
        <f>IF(Calculation!E64=Calculation!$A$147,Calculation!D64,"")</f>
        <v/>
      </c>
      <c r="D64" s="52" t="str">
        <f>IF(Calculation!E64=Calculation!$A$147,Calculation!C64,"")</f>
        <v/>
      </c>
      <c r="E64" s="52" t="str">
        <f>IF(Calculation!E64=Calculation!$A$147,Calculation!F64,"")</f>
        <v/>
      </c>
      <c r="F64" s="54" t="str">
        <f>IF(Calculation!E64=Calculation!$A$147,Calculation!G64,"")</f>
        <v/>
      </c>
      <c r="G64" s="54" t="str">
        <f>IF(Calculation!E64=Calculation!$A$147,Calculation!H64,"")</f>
        <v/>
      </c>
      <c r="H64" s="55"/>
    </row>
    <row r="65">
      <c r="A65" s="52" t="str">
        <f>IF(Calculation!E65=Calculation!$A$147,Calculation!B65,"")</f>
        <v/>
      </c>
      <c r="B65" s="53" t="str">
        <f>IF(Calculation!E65=Calculation!$A$147,Calculation!I65,"")</f>
        <v/>
      </c>
      <c r="C65" s="52" t="str">
        <f>IF(Calculation!E65=Calculation!$A$147,Calculation!D65,"")</f>
        <v/>
      </c>
      <c r="D65" s="52" t="str">
        <f>IF(Calculation!E65=Calculation!$A$147,Calculation!C65,"")</f>
        <v/>
      </c>
      <c r="E65" s="52" t="str">
        <f>IF(Calculation!E65=Calculation!$A$147,Calculation!F65,"")</f>
        <v/>
      </c>
      <c r="F65" s="54" t="str">
        <f>IF(Calculation!E65=Calculation!$A$147,Calculation!G65,"")</f>
        <v/>
      </c>
      <c r="G65" s="54" t="str">
        <f>IF(Calculation!E65=Calculation!$A$147,Calculation!H65,"")</f>
        <v/>
      </c>
      <c r="H65" s="55"/>
    </row>
    <row r="66">
      <c r="A66" s="52" t="str">
        <f>IF(Calculation!E66=Calculation!$A$147,Calculation!B66,"")</f>
        <v/>
      </c>
      <c r="B66" s="53" t="str">
        <f>IF(Calculation!E66=Calculation!$A$147,Calculation!I66,"")</f>
        <v/>
      </c>
      <c r="C66" s="52" t="str">
        <f>IF(Calculation!E66=Calculation!$A$147,Calculation!D66,"")</f>
        <v/>
      </c>
      <c r="D66" s="52" t="str">
        <f>IF(Calculation!E66=Calculation!$A$147,Calculation!C66,"")</f>
        <v/>
      </c>
      <c r="E66" s="52" t="str">
        <f>IF(Calculation!E66=Calculation!$A$147,Calculation!F66,"")</f>
        <v/>
      </c>
      <c r="F66" s="54" t="str">
        <f>IF(Calculation!E66=Calculation!$A$147,Calculation!G66,"")</f>
        <v/>
      </c>
      <c r="G66" s="54" t="str">
        <f>IF(Calculation!E66=Calculation!$A$147,Calculation!H66,"")</f>
        <v/>
      </c>
      <c r="H66" s="55"/>
    </row>
    <row r="67">
      <c r="A67" s="52" t="str">
        <f>IF(Calculation!E67=Calculation!$A$147,Calculation!B67,"")</f>
        <v/>
      </c>
      <c r="B67" s="53" t="str">
        <f>IF(Calculation!E67=Calculation!$A$147,Calculation!I67,"")</f>
        <v/>
      </c>
      <c r="C67" s="52" t="str">
        <f>IF(Calculation!E67=Calculation!$A$147,Calculation!D67,"")</f>
        <v/>
      </c>
      <c r="D67" s="52" t="str">
        <f>IF(Calculation!E67=Calculation!$A$147,Calculation!C67,"")</f>
        <v/>
      </c>
      <c r="E67" s="52" t="str">
        <f>IF(Calculation!E67=Calculation!$A$147,Calculation!F67,"")</f>
        <v/>
      </c>
      <c r="F67" s="54" t="str">
        <f>IF(Calculation!E67=Calculation!$A$147,Calculation!G67,"")</f>
        <v/>
      </c>
      <c r="G67" s="54" t="str">
        <f>IF(Calculation!E67=Calculation!$A$147,Calculation!H67,"")</f>
        <v/>
      </c>
      <c r="H67" s="55"/>
    </row>
    <row r="68">
      <c r="A68" s="52" t="str">
        <f>IF(Calculation!E68=Calculation!$A$147,Calculation!B68,"")</f>
        <v/>
      </c>
      <c r="B68" s="53" t="str">
        <f>IF(Calculation!E68=Calculation!$A$147,Calculation!I68,"")</f>
        <v/>
      </c>
      <c r="C68" s="52" t="str">
        <f>IF(Calculation!E68=Calculation!$A$147,Calculation!D68,"")</f>
        <v/>
      </c>
      <c r="D68" s="52" t="str">
        <f>IF(Calculation!E68=Calculation!$A$147,Calculation!C68,"")</f>
        <v/>
      </c>
      <c r="E68" s="52" t="str">
        <f>IF(Calculation!E68=Calculation!$A$147,Calculation!F68,"")</f>
        <v/>
      </c>
      <c r="F68" s="54" t="str">
        <f>IF(Calculation!E68=Calculation!$A$147,Calculation!G68,"")</f>
        <v/>
      </c>
      <c r="G68" s="54" t="str">
        <f>IF(Calculation!E68=Calculation!$A$147,Calculation!H68,"")</f>
        <v/>
      </c>
      <c r="H68" s="55"/>
    </row>
    <row r="69">
      <c r="A69" s="52" t="str">
        <f>IF(Calculation!E69=Calculation!$A$147,Calculation!B69,"")</f>
        <v/>
      </c>
      <c r="B69" s="53" t="str">
        <f>IF(Calculation!E69=Calculation!$A$147,Calculation!I69,"")</f>
        <v/>
      </c>
      <c r="C69" s="52" t="str">
        <f>IF(Calculation!E69=Calculation!$A$147,Calculation!D69,"")</f>
        <v/>
      </c>
      <c r="D69" s="52" t="str">
        <f>IF(Calculation!E69=Calculation!$A$147,Calculation!C69,"")</f>
        <v/>
      </c>
      <c r="E69" s="52" t="str">
        <f>IF(Calculation!E69=Calculation!$A$147,Calculation!F69,"")</f>
        <v/>
      </c>
      <c r="F69" s="54" t="str">
        <f>IF(Calculation!E69=Calculation!$A$147,Calculation!G69,"")</f>
        <v/>
      </c>
      <c r="G69" s="54" t="str">
        <f>IF(Calculation!E69=Calculation!$A$147,Calculation!H69,"")</f>
        <v/>
      </c>
      <c r="H69" s="55"/>
    </row>
    <row r="70">
      <c r="A70" s="52" t="str">
        <f>IF(Calculation!E70=Calculation!$A$147,Calculation!B70,"")</f>
        <v/>
      </c>
      <c r="B70" s="53" t="str">
        <f>IF(Calculation!E70=Calculation!$A$147,Calculation!I70,"")</f>
        <v/>
      </c>
      <c r="C70" s="52" t="str">
        <f>IF(Calculation!E70=Calculation!$A$147,Calculation!D70,"")</f>
        <v/>
      </c>
      <c r="D70" s="52" t="str">
        <f>IF(Calculation!E70=Calculation!$A$147,Calculation!C70,"")</f>
        <v/>
      </c>
      <c r="E70" s="52" t="str">
        <f>IF(Calculation!E70=Calculation!$A$147,Calculation!F70,"")</f>
        <v/>
      </c>
      <c r="F70" s="54" t="str">
        <f>IF(Calculation!E70=Calculation!$A$147,Calculation!G70,"")</f>
        <v/>
      </c>
      <c r="G70" s="54" t="str">
        <f>IF(Calculation!E70=Calculation!$A$147,Calculation!H70,"")</f>
        <v/>
      </c>
      <c r="H70" s="55"/>
    </row>
    <row r="71">
      <c r="A71" s="52" t="str">
        <f>IF(Calculation!E71=Calculation!$A$147,Calculation!B71,"")</f>
        <v/>
      </c>
      <c r="B71" s="53" t="str">
        <f>IF(Calculation!E71=Calculation!$A$147,Calculation!I71,"")</f>
        <v/>
      </c>
      <c r="C71" s="52" t="str">
        <f>IF(Calculation!E71=Calculation!$A$147,Calculation!D71,"")</f>
        <v/>
      </c>
      <c r="D71" s="52" t="str">
        <f>IF(Calculation!E71=Calculation!$A$147,Calculation!C71,"")</f>
        <v/>
      </c>
      <c r="E71" s="52" t="str">
        <f>IF(Calculation!E71=Calculation!$A$147,Calculation!F71,"")</f>
        <v/>
      </c>
      <c r="F71" s="54" t="str">
        <f>IF(Calculation!E71=Calculation!$A$147,Calculation!G71,"")</f>
        <v/>
      </c>
      <c r="G71" s="54" t="str">
        <f>IF(Calculation!E71=Calculation!$A$147,Calculation!H71,"")</f>
        <v/>
      </c>
      <c r="H71" s="55"/>
    </row>
    <row r="72">
      <c r="A72" s="52" t="str">
        <f>IF(Calculation!E72=Calculation!$A$147,Calculation!B72,"")</f>
        <v/>
      </c>
      <c r="B72" s="53" t="str">
        <f>IF(Calculation!E72=Calculation!$A$147,Calculation!I72,"")</f>
        <v/>
      </c>
      <c r="C72" s="52" t="str">
        <f>IF(Calculation!E72=Calculation!$A$147,Calculation!D72,"")</f>
        <v/>
      </c>
      <c r="D72" s="52" t="str">
        <f>IF(Calculation!E72=Calculation!$A$147,Calculation!C72,"")</f>
        <v/>
      </c>
      <c r="E72" s="52" t="str">
        <f>IF(Calculation!E72=Calculation!$A$147,Calculation!F72,"")</f>
        <v/>
      </c>
      <c r="F72" s="54" t="str">
        <f>IF(Calculation!E72=Calculation!$A$147,Calculation!G72,"")</f>
        <v/>
      </c>
      <c r="G72" s="54" t="str">
        <f>IF(Calculation!E72=Calculation!$A$147,Calculation!H72,"")</f>
        <v/>
      </c>
      <c r="H72" s="55"/>
    </row>
    <row r="73">
      <c r="A73" s="52" t="str">
        <f>IF(Calculation!E73=Calculation!$A$147,Calculation!B73,"")</f>
        <v/>
      </c>
      <c r="B73" s="53" t="str">
        <f>IF(Calculation!E73=Calculation!$A$147,Calculation!I73,"")</f>
        <v/>
      </c>
      <c r="C73" s="52" t="str">
        <f>IF(Calculation!E73=Calculation!$A$147,Calculation!D73,"")</f>
        <v/>
      </c>
      <c r="D73" s="52" t="str">
        <f>IF(Calculation!E73=Calculation!$A$147,Calculation!C73,"")</f>
        <v/>
      </c>
      <c r="E73" s="52" t="str">
        <f>IF(Calculation!E73=Calculation!$A$147,Calculation!F73,"")</f>
        <v/>
      </c>
      <c r="F73" s="54" t="str">
        <f>IF(Calculation!E73=Calculation!$A$147,Calculation!G73,"")</f>
        <v/>
      </c>
      <c r="G73" s="54" t="str">
        <f>IF(Calculation!E73=Calculation!$A$147,Calculation!H73,"")</f>
        <v/>
      </c>
      <c r="H73" s="55"/>
    </row>
    <row r="74">
      <c r="A74" s="52" t="str">
        <f>IF(Calculation!E74=Calculation!$A$147,Calculation!B74,"")</f>
        <v/>
      </c>
      <c r="B74" s="53" t="str">
        <f>IF(Calculation!E74=Calculation!$A$147,Calculation!I74,"")</f>
        <v/>
      </c>
      <c r="C74" s="52" t="str">
        <f>IF(Calculation!E74=Calculation!$A$147,Calculation!D74,"")</f>
        <v/>
      </c>
      <c r="D74" s="52" t="str">
        <f>IF(Calculation!E74=Calculation!$A$147,Calculation!C74,"")</f>
        <v/>
      </c>
      <c r="E74" s="52" t="str">
        <f>IF(Calculation!E74=Calculation!$A$147,Calculation!F74,"")</f>
        <v/>
      </c>
      <c r="F74" s="54" t="str">
        <f>IF(Calculation!E74=Calculation!$A$147,Calculation!G74,"")</f>
        <v/>
      </c>
      <c r="G74" s="54" t="str">
        <f>IF(Calculation!E74=Calculation!$A$147,Calculation!H74,"")</f>
        <v/>
      </c>
      <c r="H74" s="55"/>
    </row>
    <row r="75">
      <c r="A75" s="52" t="str">
        <f>IF(Calculation!E75=Calculation!$A$147,Calculation!B75,"")</f>
        <v/>
      </c>
      <c r="B75" s="53" t="str">
        <f>IF(Calculation!E75=Calculation!$A$147,Calculation!I75,"")</f>
        <v/>
      </c>
      <c r="C75" s="52" t="str">
        <f>IF(Calculation!E75=Calculation!$A$147,Calculation!D75,"")</f>
        <v/>
      </c>
      <c r="D75" s="52" t="str">
        <f>IF(Calculation!E75=Calculation!$A$147,Calculation!C75,"")</f>
        <v/>
      </c>
      <c r="E75" s="52" t="str">
        <f>IF(Calculation!E75=Calculation!$A$147,Calculation!F75,"")</f>
        <v/>
      </c>
      <c r="F75" s="54" t="str">
        <f>IF(Calculation!E75=Calculation!$A$147,Calculation!G75,"")</f>
        <v/>
      </c>
      <c r="G75" s="54" t="str">
        <f>IF(Calculation!E75=Calculation!$A$147,Calculation!H75,"")</f>
        <v/>
      </c>
      <c r="H75" s="55"/>
    </row>
    <row r="76">
      <c r="A76" s="52" t="str">
        <f>IF(Calculation!E76=Calculation!$A$147,Calculation!B76,"")</f>
        <v/>
      </c>
      <c r="B76" s="53" t="str">
        <f>IF(Calculation!E76=Calculation!$A$147,Calculation!I76,"")</f>
        <v/>
      </c>
      <c r="C76" s="52" t="str">
        <f>IF(Calculation!E76=Calculation!$A$147,Calculation!D76,"")</f>
        <v/>
      </c>
      <c r="D76" s="52" t="str">
        <f>IF(Calculation!E76=Calculation!$A$147,Calculation!C76,"")</f>
        <v/>
      </c>
      <c r="E76" s="52" t="str">
        <f>IF(Calculation!E76=Calculation!$A$147,Calculation!F76,"")</f>
        <v/>
      </c>
      <c r="F76" s="54" t="str">
        <f>IF(Calculation!E76=Calculation!$A$147,Calculation!G76,"")</f>
        <v/>
      </c>
      <c r="G76" s="54" t="str">
        <f>IF(Calculation!E76=Calculation!$A$147,Calculation!H76,"")</f>
        <v/>
      </c>
      <c r="H76" s="55"/>
    </row>
    <row r="77" ht="22.5" customHeight="1">
      <c r="A77" s="52" t="str">
        <f>IF(Calculation!E77=Calculation!$A$147,Calculation!B77,"")</f>
        <v/>
      </c>
      <c r="B77" s="53" t="str">
        <f>IF(Calculation!E77=Calculation!$A$147,Calculation!I77,"")</f>
        <v/>
      </c>
      <c r="C77" s="52" t="str">
        <f>IF(Calculation!E77=Calculation!$A$147,Calculation!D77,"")</f>
        <v/>
      </c>
      <c r="D77" s="52" t="str">
        <f>IF(Calculation!E77=Calculation!$A$147,Calculation!C77,"")</f>
        <v/>
      </c>
      <c r="E77" s="52" t="str">
        <f>IF(Calculation!E77=Calculation!$A$147,Calculation!F77,"")</f>
        <v/>
      </c>
      <c r="F77" s="54" t="str">
        <f>IF(Calculation!E77=Calculation!$A$147,Calculation!G77,"")</f>
        <v/>
      </c>
      <c r="G77" s="54" t="str">
        <f>IF(Calculation!E77=Calculation!$A$147,Calculation!H77,"")</f>
        <v/>
      </c>
      <c r="H77" s="55"/>
    </row>
    <row r="78" ht="21.75" customHeight="1">
      <c r="A78" s="52" t="str">
        <f>IF(Calculation!E78=Calculation!$A$147,Calculation!B78,"")</f>
        <v/>
      </c>
      <c r="B78" s="53" t="str">
        <f>IF(Calculation!E78=Calculation!$A$147,Calculation!I78,"")</f>
        <v/>
      </c>
      <c r="C78" s="52" t="str">
        <f>IF(Calculation!E78=Calculation!$A$147,Calculation!D78,"")</f>
        <v/>
      </c>
      <c r="D78" s="52" t="str">
        <f>IF(Calculation!E78=Calculation!$A$147,Calculation!C78,"")</f>
        <v/>
      </c>
      <c r="E78" s="52" t="str">
        <f>IF(Calculation!E78=Calculation!$A$147,Calculation!F78,"")</f>
        <v/>
      </c>
      <c r="F78" s="54" t="str">
        <f>IF(Calculation!E78=Calculation!$A$147,Calculation!G78,"")</f>
        <v/>
      </c>
      <c r="G78" s="54" t="str">
        <f>IF(Calculation!E78=Calculation!$A$147,Calculation!H78,"")</f>
        <v/>
      </c>
      <c r="H78" s="55"/>
    </row>
    <row r="79" ht="24.0" customHeight="1">
      <c r="A79" s="52" t="str">
        <f>IF(Calculation!E79=Calculation!$A$147,Calculation!B79,"")</f>
        <v/>
      </c>
      <c r="B79" s="53" t="str">
        <f>IF(Calculation!E79=Calculation!$A$147,Calculation!I79,"")</f>
        <v/>
      </c>
      <c r="C79" s="52" t="str">
        <f>IF(Calculation!E79=Calculation!$A$147,Calculation!D79,"")</f>
        <v/>
      </c>
      <c r="D79" s="52" t="str">
        <f>IF(Calculation!E79=Calculation!$A$147,Calculation!C79,"")</f>
        <v/>
      </c>
      <c r="E79" s="52" t="str">
        <f>IF(Calculation!E79=Calculation!$A$147,Calculation!F79,"")</f>
        <v/>
      </c>
      <c r="F79" s="54" t="str">
        <f>IF(Calculation!E79=Calculation!$A$147,Calculation!G79,"")</f>
        <v/>
      </c>
      <c r="G79" s="54" t="str">
        <f>IF(Calculation!E79=Calculation!$A$147,Calculation!H79,"")</f>
        <v/>
      </c>
      <c r="H79" s="55"/>
    </row>
    <row r="80" ht="21.75" customHeight="1">
      <c r="A80" s="52" t="str">
        <f>IF(Calculation!E80=Calculation!$A$147,Calculation!B80,"")</f>
        <v/>
      </c>
      <c r="B80" s="53" t="str">
        <f>IF(Calculation!E80=Calculation!$A$147,Calculation!I80,"")</f>
        <v/>
      </c>
      <c r="C80" s="52" t="str">
        <f>IF(Calculation!E80=Calculation!$A$147,Calculation!D80,"")</f>
        <v/>
      </c>
      <c r="D80" s="52" t="str">
        <f>IF(Calculation!E80=Calculation!$A$147,Calculation!C80,"")</f>
        <v/>
      </c>
      <c r="E80" s="52" t="str">
        <f>IF(Calculation!E80=Calculation!$A$147,Calculation!F80,"")</f>
        <v/>
      </c>
      <c r="F80" s="54" t="str">
        <f>IF(Calculation!E80=Calculation!$A$147,Calculation!G80,"")</f>
        <v/>
      </c>
      <c r="G80" s="54" t="str">
        <f>IF(Calculation!E80=Calculation!$A$147,Calculation!H80,"")</f>
        <v/>
      </c>
      <c r="H80" s="55"/>
    </row>
    <row r="81" ht="20.25" customHeight="1">
      <c r="A81" s="52" t="str">
        <f>IF(Calculation!E81=Calculation!$A$147,Calculation!B81,"")</f>
        <v/>
      </c>
      <c r="B81" s="53" t="str">
        <f>IF(Calculation!E81=Calculation!$A$147,Calculation!I81,"")</f>
        <v/>
      </c>
      <c r="C81" s="52" t="str">
        <f>IF(Calculation!E81=Calculation!$A$147,Calculation!D81,"")</f>
        <v/>
      </c>
      <c r="D81" s="52" t="str">
        <f>IF(Calculation!E81=Calculation!$A$147,Calculation!C81,"")</f>
        <v/>
      </c>
      <c r="E81" s="52" t="str">
        <f>IF(Calculation!E81=Calculation!$A$147,Calculation!F81,"")</f>
        <v/>
      </c>
      <c r="F81" s="54" t="str">
        <f>IF(Calculation!E81=Calculation!$A$147,Calculation!G81,"")</f>
        <v/>
      </c>
      <c r="G81" s="54" t="str">
        <f>IF(Calculation!E81=Calculation!$A$147,Calculation!H81,"")</f>
        <v/>
      </c>
      <c r="H81" s="55"/>
    </row>
    <row r="82">
      <c r="A82" s="52" t="str">
        <f>IF(Calculation!E82=Calculation!$A$147,Calculation!B82,"")</f>
        <v/>
      </c>
      <c r="B82" s="53" t="str">
        <f>IF(Calculation!E82=Calculation!$A$147,Calculation!I82,"")</f>
        <v/>
      </c>
      <c r="C82" s="52" t="str">
        <f>IF(Calculation!E82=Calculation!$A$147,Calculation!D82,"")</f>
        <v/>
      </c>
      <c r="D82" s="52" t="str">
        <f>IF(Calculation!E82=Calculation!$A$147,Calculation!C82,"")</f>
        <v/>
      </c>
      <c r="E82" s="52" t="str">
        <f>IF(Calculation!E82=Calculation!$A$147,Calculation!F82,"")</f>
        <v/>
      </c>
      <c r="F82" s="54" t="str">
        <f>IF(Calculation!E82=Calculation!$A$147,Calculation!G82,"")</f>
        <v/>
      </c>
      <c r="G82" s="54" t="str">
        <f>IF(Calculation!E82=Calculation!$A$147,Calculation!H82,"")</f>
        <v/>
      </c>
      <c r="H82" s="55"/>
    </row>
    <row r="83">
      <c r="A83" s="52" t="str">
        <f>IF(Calculation!E83=Calculation!$A$147,Calculation!B83,"")</f>
        <v/>
      </c>
      <c r="B83" s="53" t="str">
        <f>IF(Calculation!E83=Calculation!$A$147,Calculation!I83,"")</f>
        <v/>
      </c>
      <c r="C83" s="52" t="str">
        <f>IF(Calculation!E83=Calculation!$A$147,Calculation!D83,"")</f>
        <v/>
      </c>
      <c r="D83" s="52" t="str">
        <f>IF(Calculation!E83=Calculation!$A$147,Calculation!C83,"")</f>
        <v/>
      </c>
      <c r="E83" s="52" t="str">
        <f>IF(Calculation!E83=Calculation!$A$147,Calculation!F83,"")</f>
        <v/>
      </c>
      <c r="F83" s="54" t="str">
        <f>IF(Calculation!E83=Calculation!$A$147,Calculation!G83,"")</f>
        <v/>
      </c>
      <c r="G83" s="54" t="str">
        <f>IF(Calculation!E83=Calculation!$A$147,Calculation!H83,"")</f>
        <v/>
      </c>
      <c r="H83" s="55"/>
    </row>
    <row r="84">
      <c r="A84" s="52" t="str">
        <f>IF(Calculation!E84=Calculation!$A$147,Calculation!B84,"")</f>
        <v/>
      </c>
      <c r="B84" s="53" t="str">
        <f>IF(Calculation!E84=Calculation!$A$147,Calculation!I84,"")</f>
        <v/>
      </c>
      <c r="C84" s="52" t="str">
        <f>IF(Calculation!E84=Calculation!$A$147,Calculation!D84,"")</f>
        <v/>
      </c>
      <c r="D84" s="52" t="str">
        <f>IF(Calculation!E84=Calculation!$A$147,Calculation!C84,"")</f>
        <v/>
      </c>
      <c r="E84" s="52" t="str">
        <f>IF(Calculation!E84=Calculation!$A$147,Calculation!F84,"")</f>
        <v/>
      </c>
      <c r="F84" s="54" t="str">
        <f>IF(Calculation!E84=Calculation!$A$147,Calculation!G84,"")</f>
        <v/>
      </c>
      <c r="G84" s="54" t="str">
        <f>IF(Calculation!E84=Calculation!$A$147,Calculation!H84,"")</f>
        <v/>
      </c>
      <c r="H84" s="55"/>
    </row>
    <row r="85">
      <c r="A85" s="52" t="str">
        <f>IF(Calculation!E85=Calculation!$A$147,Calculation!B85,"")</f>
        <v/>
      </c>
      <c r="B85" s="53" t="str">
        <f>IF(Calculation!E85=Calculation!$A$147,Calculation!I85,"")</f>
        <v/>
      </c>
      <c r="C85" s="52" t="str">
        <f>IF(Calculation!E85=Calculation!$A$147,Calculation!D85,"")</f>
        <v/>
      </c>
      <c r="D85" s="52" t="str">
        <f>IF(Calculation!E85=Calculation!$A$147,Calculation!C85,"")</f>
        <v/>
      </c>
      <c r="E85" s="52" t="str">
        <f>IF(Calculation!E85=Calculation!$A$147,Calculation!F85,"")</f>
        <v/>
      </c>
      <c r="F85" s="54" t="str">
        <f>IF(Calculation!E85=Calculation!$A$147,Calculation!G85,"")</f>
        <v/>
      </c>
      <c r="G85" s="54" t="str">
        <f>IF(Calculation!E85=Calculation!$A$147,Calculation!H85,"")</f>
        <v/>
      </c>
      <c r="H85" s="55"/>
    </row>
    <row r="86">
      <c r="A86" s="52" t="str">
        <f>IF(Calculation!E86=Calculation!$A$147,Calculation!B86,"")</f>
        <v/>
      </c>
      <c r="B86" s="53" t="str">
        <f>IF(Calculation!E86=Calculation!$A$147,Calculation!I86,"")</f>
        <v/>
      </c>
      <c r="C86" s="52" t="str">
        <f>IF(Calculation!E86=Calculation!$A$147,Calculation!D86,"")</f>
        <v/>
      </c>
      <c r="D86" s="52" t="str">
        <f>IF(Calculation!E86=Calculation!$A$147,Calculation!C86,"")</f>
        <v/>
      </c>
      <c r="E86" s="52" t="str">
        <f>IF(Calculation!E86=Calculation!$A$147,Calculation!F86,"")</f>
        <v/>
      </c>
      <c r="F86" s="54" t="str">
        <f>IF(Calculation!E86=Calculation!$A$147,Calculation!G86,"")</f>
        <v/>
      </c>
      <c r="G86" s="54" t="str">
        <f>IF(Calculation!E86=Calculation!$A$147,Calculation!H86,"")</f>
        <v/>
      </c>
      <c r="H86" s="55"/>
    </row>
    <row r="87">
      <c r="A87" s="52" t="str">
        <f>IF(Calculation!E87=Calculation!$A$147,Calculation!B87,"")</f>
        <v/>
      </c>
      <c r="B87" s="53" t="str">
        <f>IF(Calculation!E87=Calculation!$A$147,Calculation!I87,"")</f>
        <v/>
      </c>
      <c r="C87" s="52" t="str">
        <f>IF(Calculation!E87=Calculation!$A$147,Calculation!D87,"")</f>
        <v/>
      </c>
      <c r="D87" s="52" t="str">
        <f>IF(Calculation!E87=Calculation!$A$147,Calculation!C87,"")</f>
        <v/>
      </c>
      <c r="E87" s="52" t="str">
        <f>IF(Calculation!E87=Calculation!$A$147,Calculation!F87,"")</f>
        <v/>
      </c>
      <c r="F87" s="54" t="str">
        <f>IF(Calculation!E87=Calculation!$A$147,Calculation!G87,"")</f>
        <v/>
      </c>
      <c r="G87" s="54" t="str">
        <f>IF(Calculation!E87=Calculation!$A$147,Calculation!H87,"")</f>
        <v/>
      </c>
      <c r="H87" s="55"/>
    </row>
    <row r="88">
      <c r="A88" s="52" t="str">
        <f>IF(Calculation!E88=Calculation!$A$147,Calculation!B88,"")</f>
        <v/>
      </c>
      <c r="B88" s="53" t="str">
        <f>IF(Calculation!E88=Calculation!$A$147,Calculation!I88,"")</f>
        <v/>
      </c>
      <c r="C88" s="52" t="str">
        <f>IF(Calculation!E88=Calculation!$A$147,Calculation!D88,"")</f>
        <v/>
      </c>
      <c r="D88" s="52" t="str">
        <f>IF(Calculation!E88=Calculation!$A$147,Calculation!C88,"")</f>
        <v/>
      </c>
      <c r="E88" s="52" t="str">
        <f>IF(Calculation!E88=Calculation!$A$147,Calculation!F88,"")</f>
        <v/>
      </c>
      <c r="F88" s="54" t="str">
        <f>IF(Calculation!E88=Calculation!$A$147,Calculation!G88,"")</f>
        <v/>
      </c>
      <c r="G88" s="54" t="str">
        <f>IF(Calculation!E88=Calculation!$A$147,Calculation!H88,"")</f>
        <v/>
      </c>
      <c r="H88" s="55"/>
    </row>
    <row r="89">
      <c r="A89" s="52" t="str">
        <f>IF(Calculation!E89=Calculation!$A$147,Calculation!B89,"")</f>
        <v/>
      </c>
      <c r="B89" s="53" t="str">
        <f>IF(Calculation!E89=Calculation!$A$147,Calculation!I89,"")</f>
        <v/>
      </c>
      <c r="C89" s="52" t="str">
        <f>IF(Calculation!E89=Calculation!$A$147,Calculation!D89,"")</f>
        <v/>
      </c>
      <c r="D89" s="52" t="str">
        <f>IF(Calculation!E89=Calculation!$A$147,Calculation!C89,"")</f>
        <v/>
      </c>
      <c r="E89" s="52" t="str">
        <f>IF(Calculation!E89=Calculation!$A$147,Calculation!F89,"")</f>
        <v/>
      </c>
      <c r="F89" s="54" t="str">
        <f>IF(Calculation!E89=Calculation!$A$147,Calculation!G89,"")</f>
        <v/>
      </c>
      <c r="G89" s="54" t="str">
        <f>IF(Calculation!E89=Calculation!$A$147,Calculation!H89,"")</f>
        <v/>
      </c>
      <c r="H89" s="55"/>
    </row>
    <row r="90">
      <c r="A90" s="52" t="str">
        <f>IF(Calculation!E90=Calculation!$A$147,Calculation!B90,"")</f>
        <v/>
      </c>
      <c r="B90" s="53" t="str">
        <f>IF(Calculation!E90=Calculation!$A$147,Calculation!I90,"")</f>
        <v/>
      </c>
      <c r="C90" s="52" t="str">
        <f>IF(Calculation!E90=Calculation!$A$147,Calculation!D90,"")</f>
        <v/>
      </c>
      <c r="D90" s="52" t="str">
        <f>IF(Calculation!E90=Calculation!$A$147,Calculation!C90,"")</f>
        <v/>
      </c>
      <c r="E90" s="52" t="str">
        <f>IF(Calculation!E90=Calculation!$A$147,Calculation!F90,"")</f>
        <v/>
      </c>
      <c r="F90" s="54" t="str">
        <f>IF(Calculation!E90=Calculation!$A$147,Calculation!G90,"")</f>
        <v/>
      </c>
      <c r="G90" s="54" t="str">
        <f>IF(Calculation!E90=Calculation!$A$147,Calculation!H90,"")</f>
        <v/>
      </c>
      <c r="H90" s="55"/>
    </row>
    <row r="91">
      <c r="A91" s="52" t="str">
        <f>IF(Calculation!E91=Calculation!$A$147,Calculation!B91,"")</f>
        <v/>
      </c>
      <c r="B91" s="53" t="str">
        <f>IF(Calculation!E91=Calculation!$A$147,Calculation!I91,"")</f>
        <v/>
      </c>
      <c r="C91" s="52" t="str">
        <f>IF(Calculation!E91=Calculation!$A$147,Calculation!D91,"")</f>
        <v/>
      </c>
      <c r="D91" s="52" t="str">
        <f>IF(Calculation!E91=Calculation!$A$147,Calculation!C91,"")</f>
        <v/>
      </c>
      <c r="E91" s="52" t="str">
        <f>IF(Calculation!E91=Calculation!$A$147,Calculation!F91,"")</f>
        <v/>
      </c>
      <c r="F91" s="54" t="str">
        <f>IF(Calculation!E91=Calculation!$A$147,Calculation!G91,"")</f>
        <v/>
      </c>
      <c r="G91" s="54" t="str">
        <f>IF(Calculation!E91=Calculation!$A$147,Calculation!H91,"")</f>
        <v/>
      </c>
      <c r="H91" s="55"/>
    </row>
    <row r="92">
      <c r="A92" s="52" t="str">
        <f>IF(Calculation!E92=Calculation!$A$147,Calculation!B92,"")</f>
        <v/>
      </c>
      <c r="B92" s="53" t="str">
        <f>IF(Calculation!E92=Calculation!$A$147,Calculation!I92,"")</f>
        <v/>
      </c>
      <c r="C92" s="52" t="str">
        <f>IF(Calculation!E92=Calculation!$A$147,Calculation!D92,"")</f>
        <v/>
      </c>
      <c r="D92" s="52" t="str">
        <f>IF(Calculation!E92=Calculation!$A$147,Calculation!C92,"")</f>
        <v/>
      </c>
      <c r="E92" s="52" t="str">
        <f>IF(Calculation!E92=Calculation!$A$147,Calculation!F92,"")</f>
        <v/>
      </c>
      <c r="F92" s="54" t="str">
        <f>IF(Calculation!E92=Calculation!$A$147,Calculation!G92,"")</f>
        <v/>
      </c>
      <c r="G92" s="54" t="str">
        <f>IF(Calculation!E92=Calculation!$A$147,Calculation!H92,"")</f>
        <v/>
      </c>
      <c r="H92" s="55"/>
    </row>
    <row r="93">
      <c r="A93" s="52" t="str">
        <f>IF(Calculation!E93=Calculation!$A$147,Calculation!B93,"")</f>
        <v/>
      </c>
      <c r="B93" s="53" t="str">
        <f>IF(Calculation!E93=Calculation!$A$147,Calculation!I93,"")</f>
        <v/>
      </c>
      <c r="C93" s="52" t="str">
        <f>IF(Calculation!E93=Calculation!$A$147,Calculation!D93,"")</f>
        <v/>
      </c>
      <c r="D93" s="52" t="str">
        <f>IF(Calculation!E93=Calculation!$A$147,Calculation!C93,"")</f>
        <v/>
      </c>
      <c r="E93" s="52" t="str">
        <f>IF(Calculation!E93=Calculation!$A$147,Calculation!F93,"")</f>
        <v/>
      </c>
      <c r="F93" s="54" t="str">
        <f>IF(Calculation!E93=Calculation!$A$147,Calculation!G93,"")</f>
        <v/>
      </c>
      <c r="G93" s="54" t="str">
        <f>IF(Calculation!E93=Calculation!$A$147,Calculation!H93,"")</f>
        <v/>
      </c>
      <c r="H93" s="55"/>
    </row>
    <row r="94">
      <c r="A94" s="52" t="str">
        <f>IF(Calculation!E94=Calculation!$A$147,Calculation!B94,"")</f>
        <v/>
      </c>
      <c r="B94" s="53" t="str">
        <f>IF(Calculation!E94=Calculation!$A$147,Calculation!I94,"")</f>
        <v/>
      </c>
      <c r="C94" s="52" t="str">
        <f>IF(Calculation!E94=Calculation!$A$147,Calculation!D94,"")</f>
        <v/>
      </c>
      <c r="D94" s="52" t="str">
        <f>IF(Calculation!E94=Calculation!$A$147,Calculation!C94,"")</f>
        <v/>
      </c>
      <c r="E94" s="52" t="str">
        <f>IF(Calculation!E94=Calculation!$A$147,Calculation!F94,"")</f>
        <v/>
      </c>
      <c r="F94" s="54" t="str">
        <f>IF(Calculation!E94=Calculation!$A$147,Calculation!G94,"")</f>
        <v/>
      </c>
      <c r="G94" s="54" t="str">
        <f>IF(Calculation!E94=Calculation!$A$147,Calculation!H94,"")</f>
        <v/>
      </c>
      <c r="H94" s="55"/>
    </row>
    <row r="95">
      <c r="A95" s="52" t="str">
        <f>IF(Calculation!E95=Calculation!$A$147,Calculation!B95,"")</f>
        <v/>
      </c>
      <c r="B95" s="53" t="str">
        <f>IF(Calculation!E95=Calculation!$A$147,Calculation!I95,"")</f>
        <v/>
      </c>
      <c r="C95" s="52" t="str">
        <f>IF(Calculation!E95=Calculation!$A$147,Calculation!D95,"")</f>
        <v/>
      </c>
      <c r="D95" s="52" t="str">
        <f>IF(Calculation!E95=Calculation!$A$147,Calculation!C95,"")</f>
        <v/>
      </c>
      <c r="E95" s="52" t="str">
        <f>IF(Calculation!E95=Calculation!$A$147,Calculation!F95,"")</f>
        <v/>
      </c>
      <c r="F95" s="54" t="str">
        <f>IF(Calculation!E95=Calculation!$A$147,Calculation!G95,"")</f>
        <v/>
      </c>
      <c r="G95" s="54" t="str">
        <f>IF(Calculation!E95=Calculation!$A$147,Calculation!H95,"")</f>
        <v/>
      </c>
      <c r="H95" s="55"/>
    </row>
    <row r="96">
      <c r="A96" s="52" t="str">
        <f>IF(Calculation!E96=Calculation!$A$147,Calculation!B96,"")</f>
        <v/>
      </c>
      <c r="B96" s="53" t="str">
        <f>IF(Calculation!E96=Calculation!$A$147,Calculation!I96,"")</f>
        <v/>
      </c>
      <c r="C96" s="52" t="str">
        <f>IF(Calculation!E96=Calculation!$A$147,Calculation!D96,"")</f>
        <v/>
      </c>
      <c r="D96" s="52" t="str">
        <f>IF(Calculation!E96=Calculation!$A$147,Calculation!C96,"")</f>
        <v/>
      </c>
      <c r="E96" s="52" t="str">
        <f>IF(Calculation!E96=Calculation!$A$147,Calculation!F96,"")</f>
        <v/>
      </c>
      <c r="F96" s="54" t="str">
        <f>IF(Calculation!E96=Calculation!$A$147,Calculation!G96,"")</f>
        <v/>
      </c>
      <c r="G96" s="54" t="str">
        <f>IF(Calculation!E96=Calculation!$A$147,Calculation!H96,"")</f>
        <v/>
      </c>
      <c r="H96" s="55"/>
    </row>
    <row r="97">
      <c r="A97" s="52" t="str">
        <f>IF(Calculation!E97=Calculation!$A$147,Calculation!B97,"")</f>
        <v/>
      </c>
      <c r="B97" s="53" t="str">
        <f>IF(Calculation!E97=Calculation!$A$147,Calculation!I97,"")</f>
        <v/>
      </c>
      <c r="C97" s="52" t="str">
        <f>IF(Calculation!E97=Calculation!$A$147,Calculation!D97,"")</f>
        <v/>
      </c>
      <c r="D97" s="52" t="str">
        <f>IF(Calculation!E97=Calculation!$A$147,Calculation!C97,"")</f>
        <v/>
      </c>
      <c r="E97" s="52" t="str">
        <f>IF(Calculation!E97=Calculation!$A$147,Calculation!F97,"")</f>
        <v/>
      </c>
      <c r="F97" s="54" t="str">
        <f>IF(Calculation!E97=Calculation!$A$147,Calculation!G97,"")</f>
        <v/>
      </c>
      <c r="G97" s="54" t="str">
        <f>IF(Calculation!E97=Calculation!$A$147,Calculation!H97,"")</f>
        <v/>
      </c>
      <c r="H97" s="55"/>
    </row>
    <row r="98">
      <c r="A98" s="52" t="str">
        <f>IF(Calculation!E98=Calculation!$A$147,Calculation!B98,"")</f>
        <v/>
      </c>
      <c r="B98" s="53" t="str">
        <f>IF(Calculation!E98=Calculation!$A$147,Calculation!I98,"")</f>
        <v/>
      </c>
      <c r="C98" s="52" t="str">
        <f>IF(Calculation!E98=Calculation!$A$147,Calculation!D98,"")</f>
        <v/>
      </c>
      <c r="D98" s="52" t="str">
        <f>IF(Calculation!E98=Calculation!$A$147,Calculation!C98,"")</f>
        <v/>
      </c>
      <c r="E98" s="52" t="str">
        <f>IF(Calculation!E98=Calculation!$A$147,Calculation!F98,"")</f>
        <v/>
      </c>
      <c r="F98" s="54" t="str">
        <f>IF(Calculation!E98=Calculation!$A$147,Calculation!G98,"")</f>
        <v/>
      </c>
      <c r="G98" s="54" t="str">
        <f>IF(Calculation!E98=Calculation!$A$147,Calculation!H98,"")</f>
        <v/>
      </c>
      <c r="H98" s="55"/>
    </row>
    <row r="99">
      <c r="A99" s="52" t="str">
        <f>IF(Calculation!E99=Calculation!$A$147,Calculation!B99,"")</f>
        <v/>
      </c>
      <c r="B99" s="53" t="str">
        <f>IF(Calculation!E99=Calculation!$A$147,Calculation!I99,"")</f>
        <v/>
      </c>
      <c r="C99" s="52" t="str">
        <f>IF(Calculation!E99=Calculation!$A$147,Calculation!D99,"")</f>
        <v/>
      </c>
      <c r="D99" s="52" t="str">
        <f>IF(Calculation!E99=Calculation!$A$147,Calculation!C99,"")</f>
        <v/>
      </c>
      <c r="E99" s="52" t="str">
        <f>IF(Calculation!E99=Calculation!$A$147,Calculation!F99,"")</f>
        <v/>
      </c>
      <c r="F99" s="54" t="str">
        <f>IF(Calculation!E99=Calculation!$A$147,Calculation!G99,"")</f>
        <v/>
      </c>
      <c r="G99" s="54" t="str">
        <f>IF(Calculation!E99=Calculation!$A$147,Calculation!H99,"")</f>
        <v/>
      </c>
      <c r="H99" s="55"/>
    </row>
    <row r="100">
      <c r="A100" s="52" t="str">
        <f>IF(Calculation!E100=Calculation!$A$147,Calculation!B100,"")</f>
        <v/>
      </c>
      <c r="B100" s="53" t="str">
        <f>IF(Calculation!E100=Calculation!$A$147,Calculation!I100,"")</f>
        <v/>
      </c>
      <c r="C100" s="52" t="str">
        <f>IF(Calculation!E100=Calculation!$A$147,Calculation!D100,"")</f>
        <v/>
      </c>
      <c r="D100" s="52" t="str">
        <f>IF(Calculation!E100=Calculation!$A$147,Calculation!C100,"")</f>
        <v/>
      </c>
      <c r="E100" s="52" t="str">
        <f>IF(Calculation!E100=Calculation!$A$147,Calculation!F100,"")</f>
        <v/>
      </c>
      <c r="F100" s="54" t="str">
        <f>IF(Calculation!E100=Calculation!$A$147,Calculation!G100,"")</f>
        <v/>
      </c>
      <c r="G100" s="54" t="str">
        <f>IF(Calculation!E100=Calculation!$A$147,Calculation!H100,"")</f>
        <v/>
      </c>
      <c r="H100" s="55"/>
    </row>
    <row r="101">
      <c r="A101" s="52" t="str">
        <f>IF(Calculation!E101=Calculation!$A$147,Calculation!B101,"")</f>
        <v/>
      </c>
      <c r="B101" s="53" t="str">
        <f>IF(Calculation!E101=Calculation!$A$147,Calculation!I101,"")</f>
        <v/>
      </c>
      <c r="C101" s="52" t="str">
        <f>IF(Calculation!E101=Calculation!$A$147,Calculation!D101,"")</f>
        <v/>
      </c>
      <c r="D101" s="52" t="str">
        <f>IF(Calculation!E101=Calculation!$A$147,Calculation!C101,"")</f>
        <v/>
      </c>
      <c r="E101" s="52" t="str">
        <f>IF(Calculation!E101=Calculation!$A$147,Calculation!F101,"")</f>
        <v/>
      </c>
      <c r="F101" s="54" t="str">
        <f>IF(Calculation!E101=Calculation!$A$147,Calculation!G101,"")</f>
        <v/>
      </c>
      <c r="G101" s="54" t="str">
        <f>IF(Calculation!E101=Calculation!$A$147,Calculation!H101,"")</f>
        <v/>
      </c>
      <c r="H101" s="55"/>
    </row>
    <row r="102">
      <c r="A102" s="52" t="str">
        <f>IF(Calculation!E102=Calculation!$A$147,Calculation!B102,"")</f>
        <v/>
      </c>
      <c r="B102" s="53" t="str">
        <f>IF(Calculation!E102=Calculation!$A$147,Calculation!I102,"")</f>
        <v/>
      </c>
      <c r="C102" s="52" t="str">
        <f>IF(Calculation!E102=Calculation!$A$147,Calculation!D102,"")</f>
        <v/>
      </c>
      <c r="D102" s="52" t="str">
        <f>IF(Calculation!E102=Calculation!$A$147,Calculation!C102,"")</f>
        <v/>
      </c>
      <c r="E102" s="52" t="str">
        <f>IF(Calculation!E102=Calculation!$A$147,Calculation!F102,"")</f>
        <v/>
      </c>
      <c r="F102" s="54" t="str">
        <f>IF(Calculation!E102=Calculation!$A$147,Calculation!G102,"")</f>
        <v/>
      </c>
      <c r="G102" s="54" t="str">
        <f>IF(Calculation!E102=Calculation!$A$147,Calculation!H102,"")</f>
        <v/>
      </c>
      <c r="H102" s="55"/>
    </row>
    <row r="103">
      <c r="A103" s="52" t="str">
        <f>IF(Calculation!E103=Calculation!$A$147,Calculation!B103,"")</f>
        <v/>
      </c>
      <c r="B103" s="53" t="str">
        <f>IF(Calculation!E103=Calculation!$A$147,Calculation!I103,"")</f>
        <v/>
      </c>
      <c r="C103" s="52" t="str">
        <f>IF(Calculation!E103=Calculation!$A$147,Calculation!D103,"")</f>
        <v/>
      </c>
      <c r="D103" s="52" t="str">
        <f>IF(Calculation!E103=Calculation!$A$147,Calculation!C103,"")</f>
        <v/>
      </c>
      <c r="E103" s="52" t="str">
        <f>IF(Calculation!E103=Calculation!$A$147,Calculation!F103,"")</f>
        <v/>
      </c>
      <c r="F103" s="54" t="str">
        <f>IF(Calculation!E103=Calculation!$A$147,Calculation!G103,"")</f>
        <v/>
      </c>
      <c r="G103" s="54" t="str">
        <f>IF(Calculation!E103=Calculation!$A$147,Calculation!H103,"")</f>
        <v/>
      </c>
      <c r="H103" s="55"/>
    </row>
    <row r="104">
      <c r="A104" s="52" t="str">
        <f>IF(Calculation!E104=Calculation!$A$147,Calculation!B104,"")</f>
        <v/>
      </c>
      <c r="B104" s="53" t="str">
        <f>IF(Calculation!E104=Calculation!$A$147,Calculation!I104,"")</f>
        <v/>
      </c>
      <c r="C104" s="52" t="str">
        <f>IF(Calculation!E104=Calculation!$A$147,Calculation!D104,"")</f>
        <v/>
      </c>
      <c r="D104" s="52" t="str">
        <f>IF(Calculation!E104=Calculation!$A$147,Calculation!C104,"")</f>
        <v/>
      </c>
      <c r="E104" s="52" t="str">
        <f>IF(Calculation!E104=Calculation!$A$147,Calculation!F104,"")</f>
        <v/>
      </c>
      <c r="F104" s="54" t="str">
        <f>IF(Calculation!E104=Calculation!$A$147,Calculation!G104,"")</f>
        <v/>
      </c>
      <c r="G104" s="54" t="str">
        <f>IF(Calculation!E104=Calculation!$A$147,Calculation!H104,"")</f>
        <v/>
      </c>
      <c r="H104" s="55"/>
    </row>
    <row r="105">
      <c r="A105" s="52" t="str">
        <f>IF(Calculation!E105=Calculation!$A$147,Calculation!B105,"")</f>
        <v/>
      </c>
      <c r="B105" s="53" t="str">
        <f>IF(Calculation!E105=Calculation!$A$147,Calculation!I105,"")</f>
        <v/>
      </c>
      <c r="C105" s="52" t="str">
        <f>IF(Calculation!E105=Calculation!$A$147,Calculation!D105,"")</f>
        <v/>
      </c>
      <c r="D105" s="52" t="str">
        <f>IF(Calculation!E105=Calculation!$A$147,Calculation!C105,"")</f>
        <v/>
      </c>
      <c r="E105" s="52" t="str">
        <f>IF(Calculation!E105=Calculation!$A$147,Calculation!F105,"")</f>
        <v/>
      </c>
      <c r="F105" s="54" t="str">
        <f>IF(Calculation!E105=Calculation!$A$147,Calculation!G105,"")</f>
        <v/>
      </c>
      <c r="G105" s="54" t="str">
        <f>IF(Calculation!E105=Calculation!$A$147,Calculation!H105,"")</f>
        <v/>
      </c>
      <c r="H105" s="55"/>
    </row>
    <row r="106">
      <c r="A106" s="52" t="str">
        <f>IF(Calculation!E106=Calculation!$A$147,Calculation!B106,"")</f>
        <v/>
      </c>
      <c r="B106" s="53" t="str">
        <f>IF(Calculation!E106=Calculation!$A$147,Calculation!I106,"")</f>
        <v/>
      </c>
      <c r="C106" s="52" t="str">
        <f>IF(Calculation!E106=Calculation!$A$147,Calculation!D106,"")</f>
        <v/>
      </c>
      <c r="D106" s="52" t="str">
        <f>IF(Calculation!E106=Calculation!$A$147,Calculation!C106,"")</f>
        <v/>
      </c>
      <c r="E106" s="52" t="str">
        <f>IF(Calculation!E106=Calculation!$A$147,Calculation!F106,"")</f>
        <v/>
      </c>
      <c r="F106" s="54" t="str">
        <f>IF(Calculation!E106=Calculation!$A$147,Calculation!G106,"")</f>
        <v/>
      </c>
      <c r="G106" s="54" t="str">
        <f>IF(Calculation!E106=Calculation!$A$147,Calculation!H106,"")</f>
        <v/>
      </c>
      <c r="H106" s="55"/>
    </row>
    <row r="107">
      <c r="A107" s="52" t="str">
        <f>IF(Calculation!E107=Calculation!$A$147,Calculation!B107,"")</f>
        <v/>
      </c>
      <c r="B107" s="53" t="str">
        <f>IF(Calculation!E107=Calculation!$A$147,Calculation!I107,"")</f>
        <v/>
      </c>
      <c r="C107" s="52" t="str">
        <f>IF(Calculation!E107=Calculation!$A$147,Calculation!D107,"")</f>
        <v/>
      </c>
      <c r="D107" s="52" t="str">
        <f>IF(Calculation!E107=Calculation!$A$147,Calculation!C107,"")</f>
        <v/>
      </c>
      <c r="E107" s="52" t="str">
        <f>IF(Calculation!E107=Calculation!$A$147,Calculation!F107,"")</f>
        <v/>
      </c>
      <c r="F107" s="54" t="str">
        <f>IF(Calculation!E107=Calculation!$A$147,Calculation!G107,"")</f>
        <v/>
      </c>
      <c r="G107" s="54" t="str">
        <f>IF(Calculation!E107=Calculation!$A$147,Calculation!H107,"")</f>
        <v/>
      </c>
      <c r="H107" s="55"/>
    </row>
    <row r="108">
      <c r="A108" s="52" t="str">
        <f>IF(Calculation!E108=Calculation!$A$147,Calculation!B108,"")</f>
        <v/>
      </c>
      <c r="B108" s="53" t="str">
        <f>IF(Calculation!E108=Calculation!$A$147,Calculation!I108,"")</f>
        <v/>
      </c>
      <c r="C108" s="52" t="str">
        <f>IF(Calculation!E108=Calculation!$A$147,Calculation!D108,"")</f>
        <v/>
      </c>
      <c r="D108" s="52" t="str">
        <f>IF(Calculation!E108=Calculation!$A$147,Calculation!C108,"")</f>
        <v/>
      </c>
      <c r="E108" s="52" t="str">
        <f>IF(Calculation!E108=Calculation!$A$147,Calculation!F108,"")</f>
        <v/>
      </c>
      <c r="F108" s="54" t="str">
        <f>IF(Calculation!E108=Calculation!$A$147,Calculation!G108,"")</f>
        <v/>
      </c>
      <c r="G108" s="54" t="str">
        <f>IF(Calculation!E108=Calculation!$A$147,Calculation!H108,"")</f>
        <v/>
      </c>
      <c r="H108" s="55"/>
    </row>
    <row r="109">
      <c r="A109" s="52" t="str">
        <f>IF(Calculation!E109=Calculation!$A$147,Calculation!B109,"")</f>
        <v/>
      </c>
      <c r="B109" s="53" t="str">
        <f>IF(Calculation!E109=Calculation!$A$147,Calculation!I109,"")</f>
        <v/>
      </c>
      <c r="C109" s="52" t="str">
        <f>IF(Calculation!E109=Calculation!$A$147,Calculation!D109,"")</f>
        <v/>
      </c>
      <c r="D109" s="52" t="str">
        <f>IF(Calculation!E109=Calculation!$A$147,Calculation!C109,"")</f>
        <v/>
      </c>
      <c r="E109" s="52" t="str">
        <f>IF(Calculation!E109=Calculation!$A$147,Calculation!F109,"")</f>
        <v/>
      </c>
      <c r="F109" s="54" t="str">
        <f>IF(Calculation!E109=Calculation!$A$147,Calculation!G109,"")</f>
        <v/>
      </c>
      <c r="G109" s="54" t="str">
        <f>IF(Calculation!E109=Calculation!$A$147,Calculation!H109,"")</f>
        <v/>
      </c>
      <c r="H109" s="55"/>
    </row>
    <row r="110">
      <c r="A110" s="52" t="str">
        <f>IF(Calculation!E110=Calculation!$A$147,Calculation!B110,"")</f>
        <v/>
      </c>
      <c r="B110" s="53" t="str">
        <f>IF(Calculation!E110=Calculation!$A$147,Calculation!I110,"")</f>
        <v/>
      </c>
      <c r="C110" s="52" t="str">
        <f>IF(Calculation!E110=Calculation!$A$147,Calculation!D110,"")</f>
        <v/>
      </c>
      <c r="D110" s="52" t="str">
        <f>IF(Calculation!E110=Calculation!$A$147,Calculation!C110,"")</f>
        <v/>
      </c>
      <c r="E110" s="52" t="str">
        <f>IF(Calculation!E110=Calculation!$A$147,Calculation!F110,"")</f>
        <v/>
      </c>
      <c r="F110" s="54" t="str">
        <f>IF(Calculation!E110=Calculation!$A$147,Calculation!G110,"")</f>
        <v/>
      </c>
      <c r="G110" s="54" t="str">
        <f>IF(Calculation!E110=Calculation!$A$147,Calculation!H110,"")</f>
        <v/>
      </c>
      <c r="H110" s="55"/>
    </row>
    <row r="111">
      <c r="A111" s="52" t="str">
        <f>IF(Calculation!E111=Calculation!$A$147,Calculation!B111,"")</f>
        <v/>
      </c>
      <c r="B111" s="53" t="str">
        <f>IF(Calculation!E111=Calculation!$A$147,Calculation!I111,"")</f>
        <v/>
      </c>
      <c r="C111" s="52" t="str">
        <f>IF(Calculation!E111=Calculation!$A$147,Calculation!D111,"")</f>
        <v/>
      </c>
      <c r="D111" s="52" t="str">
        <f>IF(Calculation!E111=Calculation!$A$147,Calculation!C111,"")</f>
        <v/>
      </c>
      <c r="E111" s="52" t="str">
        <f>IF(Calculation!E111=Calculation!$A$147,Calculation!F111,"")</f>
        <v/>
      </c>
      <c r="F111" s="54" t="str">
        <f>IF(Calculation!E111=Calculation!$A$147,Calculation!G111,"")</f>
        <v/>
      </c>
      <c r="G111" s="54" t="str">
        <f>IF(Calculation!E111=Calculation!$A$147,Calculation!H111,"")</f>
        <v/>
      </c>
      <c r="H111" s="55"/>
    </row>
    <row r="112">
      <c r="A112" s="52" t="str">
        <f>IF(Calculation!E112=Calculation!$A$147,Calculation!B112,"")</f>
        <v/>
      </c>
      <c r="B112" s="53" t="str">
        <f>IF(Calculation!E112=Calculation!$A$147,Calculation!I112,"")</f>
        <v/>
      </c>
      <c r="C112" s="52" t="str">
        <f>IF(Calculation!E112=Calculation!$A$147,Calculation!D112,"")</f>
        <v/>
      </c>
      <c r="D112" s="52" t="str">
        <f>IF(Calculation!E112=Calculation!$A$147,Calculation!C112,"")</f>
        <v/>
      </c>
      <c r="E112" s="52" t="str">
        <f>IF(Calculation!E112=Calculation!$A$147,Calculation!F112,"")</f>
        <v/>
      </c>
      <c r="F112" s="54" t="str">
        <f>IF(Calculation!E112=Calculation!$A$147,Calculation!G112,"")</f>
        <v/>
      </c>
      <c r="G112" s="54" t="str">
        <f>IF(Calculation!E112=Calculation!$A$147,Calculation!H112,"")</f>
        <v/>
      </c>
      <c r="H112" s="55"/>
    </row>
    <row r="113">
      <c r="A113" s="52" t="str">
        <f>IF(Calculation!E113=Calculation!$A$147,Calculation!B113,"")</f>
        <v/>
      </c>
      <c r="B113" s="53" t="str">
        <f>IF(Calculation!E113=Calculation!$A$147,Calculation!I113,"")</f>
        <v/>
      </c>
      <c r="C113" s="52" t="str">
        <f>IF(Calculation!E113=Calculation!$A$147,Calculation!D113,"")</f>
        <v/>
      </c>
      <c r="D113" s="52" t="str">
        <f>IF(Calculation!E113=Calculation!$A$147,Calculation!C113,"")</f>
        <v/>
      </c>
      <c r="E113" s="52" t="str">
        <f>IF(Calculation!E113=Calculation!$A$147,Calculation!F113,"")</f>
        <v/>
      </c>
      <c r="F113" s="54" t="str">
        <f>IF(Calculation!E113=Calculation!$A$147,Calculation!G113,"")</f>
        <v/>
      </c>
      <c r="G113" s="54" t="str">
        <f>IF(Calculation!E113=Calculation!$A$147,Calculation!H113,"")</f>
        <v/>
      </c>
      <c r="H113" s="55"/>
    </row>
    <row r="114">
      <c r="A114" s="52" t="str">
        <f>IF(Calculation!E114=Calculation!$A$147,Calculation!B114,"")</f>
        <v/>
      </c>
      <c r="B114" s="53" t="str">
        <f>IF(Calculation!E114=Calculation!$A$147,Calculation!I114,"")</f>
        <v/>
      </c>
      <c r="C114" s="52" t="str">
        <f>IF(Calculation!E114=Calculation!$A$147,Calculation!D114,"")</f>
        <v/>
      </c>
      <c r="D114" s="52" t="str">
        <f>IF(Calculation!E114=Calculation!$A$147,Calculation!C114,"")</f>
        <v/>
      </c>
      <c r="E114" s="52" t="str">
        <f>IF(Calculation!E114=Calculation!$A$147,Calculation!F114,"")</f>
        <v/>
      </c>
      <c r="F114" s="54" t="str">
        <f>IF(Calculation!E114=Calculation!$A$147,Calculation!G114,"")</f>
        <v/>
      </c>
      <c r="G114" s="54" t="str">
        <f>IF(Calculation!E114=Calculation!$A$147,Calculation!H114,"")</f>
        <v/>
      </c>
      <c r="H114" s="55"/>
    </row>
    <row r="115">
      <c r="A115" s="52" t="str">
        <f>IF(Calculation!E115=Calculation!$A$147,Calculation!B115,"")</f>
        <v/>
      </c>
      <c r="B115" s="53" t="str">
        <f>IF(Calculation!E115=Calculation!$A$147,Calculation!I115,"")</f>
        <v/>
      </c>
      <c r="C115" s="52" t="str">
        <f>IF(Calculation!E115=Calculation!$A$147,Calculation!D115,"")</f>
        <v/>
      </c>
      <c r="D115" s="52" t="str">
        <f>IF(Calculation!E115=Calculation!$A$147,Calculation!C115,"")</f>
        <v/>
      </c>
      <c r="E115" s="52" t="str">
        <f>IF(Calculation!E115=Calculation!$A$147,Calculation!F115,"")</f>
        <v/>
      </c>
      <c r="F115" s="54" t="str">
        <f>IF(Calculation!E115=Calculation!$A$147,Calculation!G115,"")</f>
        <v/>
      </c>
      <c r="G115" s="54" t="str">
        <f>IF(Calculation!E115=Calculation!$A$147,Calculation!H115,"")</f>
        <v/>
      </c>
      <c r="H115" s="55"/>
    </row>
    <row r="116">
      <c r="A116" s="52" t="str">
        <f>IF(Calculation!E116=Calculation!$A$147,Calculation!B116,"")</f>
        <v/>
      </c>
      <c r="B116" s="53" t="str">
        <f>IF(Calculation!E116=Calculation!$A$147,Calculation!I116,"")</f>
        <v/>
      </c>
      <c r="C116" s="52" t="str">
        <f>IF(Calculation!E116=Calculation!$A$147,Calculation!D116,"")</f>
        <v/>
      </c>
      <c r="D116" s="52" t="str">
        <f>IF(Calculation!E116=Calculation!$A$147,Calculation!C116,"")</f>
        <v/>
      </c>
      <c r="E116" s="52" t="str">
        <f>IF(Calculation!E116=Calculation!$A$147,Calculation!F116,"")</f>
        <v/>
      </c>
      <c r="F116" s="54" t="str">
        <f>IF(Calculation!E116=Calculation!$A$147,Calculation!G116,"")</f>
        <v/>
      </c>
      <c r="G116" s="54" t="str">
        <f>IF(Calculation!E116=Calculation!$A$147,Calculation!H116,"")</f>
        <v/>
      </c>
      <c r="H116" s="55"/>
    </row>
    <row r="117">
      <c r="A117" s="52" t="str">
        <f>IF(Calculation!E117=Calculation!$A$147,Calculation!B117,"")</f>
        <v/>
      </c>
      <c r="B117" s="53" t="str">
        <f>IF(Calculation!E117=Calculation!$A$147,Calculation!I117,"")</f>
        <v/>
      </c>
      <c r="C117" s="52" t="str">
        <f>IF(Calculation!E117=Calculation!$A$147,Calculation!D117,"")</f>
        <v/>
      </c>
      <c r="D117" s="52" t="str">
        <f>IF(Calculation!E117=Calculation!$A$147,Calculation!C117,"")</f>
        <v/>
      </c>
      <c r="E117" s="52" t="str">
        <f>IF(Calculation!E117=Calculation!$A$147,Calculation!F117,"")</f>
        <v/>
      </c>
      <c r="F117" s="54" t="str">
        <f>IF(Calculation!E117=Calculation!$A$147,Calculation!G117,"")</f>
        <v/>
      </c>
      <c r="G117" s="54" t="str">
        <f>IF(Calculation!E117=Calculation!$A$147,Calculation!H117,"")</f>
        <v/>
      </c>
      <c r="H117" s="55"/>
    </row>
    <row r="118">
      <c r="A118" s="52" t="str">
        <f>IF(Calculation!E118=Calculation!$A$147,Calculation!B118,"")</f>
        <v/>
      </c>
      <c r="B118" s="53" t="str">
        <f>IF(Calculation!E118=Calculation!$A$147,Calculation!I118,"")</f>
        <v/>
      </c>
      <c r="C118" s="52" t="str">
        <f>IF(Calculation!E118=Calculation!$A$147,Calculation!D118,"")</f>
        <v/>
      </c>
      <c r="D118" s="52" t="str">
        <f>IF(Calculation!E118=Calculation!$A$147,Calculation!C118,"")</f>
        <v/>
      </c>
      <c r="E118" s="52" t="str">
        <f>IF(Calculation!E118=Calculation!$A$147,Calculation!F118,"")</f>
        <v/>
      </c>
      <c r="F118" s="54" t="str">
        <f>IF(Calculation!E118=Calculation!$A$147,Calculation!G118,"")</f>
        <v/>
      </c>
      <c r="G118" s="54" t="str">
        <f>IF(Calculation!E118=Calculation!$A$147,Calculation!H118,"")</f>
        <v/>
      </c>
      <c r="H118" s="55"/>
    </row>
    <row r="119">
      <c r="A119" s="52" t="str">
        <f>IF(Calculation!E119=Calculation!$A$147,Calculation!B119,"")</f>
        <v/>
      </c>
      <c r="B119" s="53" t="str">
        <f>IF(Calculation!E119=Calculation!$A$147,Calculation!I119,"")</f>
        <v/>
      </c>
      <c r="C119" s="52" t="str">
        <f>IF(Calculation!E119=Calculation!$A$147,Calculation!D119,"")</f>
        <v/>
      </c>
      <c r="D119" s="52" t="str">
        <f>IF(Calculation!E119=Calculation!$A$147,Calculation!C119,"")</f>
        <v/>
      </c>
      <c r="E119" s="52" t="str">
        <f>IF(Calculation!E119=Calculation!$A$147,Calculation!F119,"")</f>
        <v/>
      </c>
      <c r="F119" s="54" t="str">
        <f>IF(Calculation!E119=Calculation!$A$147,Calculation!G119,"")</f>
        <v/>
      </c>
      <c r="G119" s="54" t="str">
        <f>IF(Calculation!E119=Calculation!$A$147,Calculation!H119,"")</f>
        <v/>
      </c>
      <c r="H119" s="55"/>
    </row>
    <row r="120">
      <c r="A120" s="52" t="str">
        <f>IF(Calculation!E120=Calculation!$A$147,Calculation!B120,"")</f>
        <v/>
      </c>
      <c r="B120" s="53" t="str">
        <f>IF(Calculation!E120=Calculation!$A$147,Calculation!I120,"")</f>
        <v/>
      </c>
      <c r="C120" s="52" t="str">
        <f>IF(Calculation!E120=Calculation!$A$147,Calculation!D120,"")</f>
        <v/>
      </c>
      <c r="D120" s="52" t="str">
        <f>IF(Calculation!E120=Calculation!$A$147,Calculation!C120,"")</f>
        <v/>
      </c>
      <c r="E120" s="52" t="str">
        <f>IF(Calculation!E120=Calculation!$A$147,Calculation!F120,"")</f>
        <v/>
      </c>
      <c r="F120" s="54" t="str">
        <f>IF(Calculation!E120=Calculation!$A$147,Calculation!G120,"")</f>
        <v/>
      </c>
      <c r="G120" s="54" t="str">
        <f>IF(Calculation!E120=Calculation!$A$147,Calculation!H120,"")</f>
        <v/>
      </c>
      <c r="H120" s="55"/>
    </row>
    <row r="121">
      <c r="A121" s="52" t="str">
        <f>IF(Calculation!E121=Calculation!$A$147,Calculation!B121,"")</f>
        <v/>
      </c>
      <c r="B121" s="53" t="str">
        <f>IF(Calculation!E121=Calculation!$A$147,Calculation!I121,"")</f>
        <v/>
      </c>
      <c r="C121" s="52" t="str">
        <f>IF(Calculation!E121=Calculation!$A$147,Calculation!D121,"")</f>
        <v/>
      </c>
      <c r="D121" s="52" t="str">
        <f>IF(Calculation!E121=Calculation!$A$147,Calculation!C121,"")</f>
        <v/>
      </c>
      <c r="E121" s="52" t="str">
        <f>IF(Calculation!E121=Calculation!$A$147,Calculation!F121,"")</f>
        <v/>
      </c>
      <c r="F121" s="54" t="str">
        <f>IF(Calculation!E121=Calculation!$A$147,Calculation!G121,"")</f>
        <v/>
      </c>
      <c r="G121" s="54" t="str">
        <f>IF(Calculation!E121=Calculation!$A$147,Calculation!H121,"")</f>
        <v/>
      </c>
      <c r="H121" s="55"/>
    </row>
    <row r="122">
      <c r="A122" s="52" t="str">
        <f>IF(Calculation!E122=Calculation!$A$147,Calculation!B122,"")</f>
        <v/>
      </c>
      <c r="B122" s="53" t="str">
        <f>IF(Calculation!E122=Calculation!$A$147,Calculation!I122,"")</f>
        <v/>
      </c>
      <c r="C122" s="52" t="str">
        <f>IF(Calculation!E122=Calculation!$A$147,Calculation!D122,"")</f>
        <v/>
      </c>
      <c r="D122" s="52" t="str">
        <f>IF(Calculation!E122=Calculation!$A$147,Calculation!C122,"")</f>
        <v/>
      </c>
      <c r="E122" s="52" t="str">
        <f>IF(Calculation!E122=Calculation!$A$147,Calculation!F122,"")</f>
        <v/>
      </c>
      <c r="F122" s="54" t="str">
        <f>IF(Calculation!E122=Calculation!$A$147,Calculation!G122,"")</f>
        <v/>
      </c>
      <c r="G122" s="54" t="str">
        <f>IF(Calculation!E122=Calculation!$A$147,Calculation!H122,"")</f>
        <v/>
      </c>
      <c r="H122" s="55"/>
    </row>
    <row r="123">
      <c r="A123" s="52" t="str">
        <f>IF(Calculation!E123=Calculation!$A$147,Calculation!B123,"")</f>
        <v/>
      </c>
      <c r="B123" s="53" t="str">
        <f>IF(Calculation!E123=Calculation!$A$147,Calculation!I123,"")</f>
        <v/>
      </c>
      <c r="C123" s="52" t="str">
        <f>IF(Calculation!E123=Calculation!$A$147,Calculation!D123,"")</f>
        <v/>
      </c>
      <c r="D123" s="52" t="str">
        <f>IF(Calculation!E123=Calculation!$A$147,Calculation!C123,"")</f>
        <v/>
      </c>
      <c r="E123" s="52" t="str">
        <f>IF(Calculation!E123=Calculation!$A$147,Calculation!F123,"")</f>
        <v/>
      </c>
      <c r="F123" s="54" t="str">
        <f>IF(Calculation!E123=Calculation!$A$147,Calculation!G123,"")</f>
        <v/>
      </c>
      <c r="G123" s="54" t="str">
        <f>IF(Calculation!E123=Calculation!$A$147,Calculation!H123,"")</f>
        <v/>
      </c>
      <c r="H123" s="55"/>
    </row>
    <row r="124">
      <c r="A124" s="52" t="str">
        <f>IF(Calculation!E124=Calculation!$A$147,Calculation!B124,"")</f>
        <v/>
      </c>
      <c r="B124" s="53" t="str">
        <f>IF(Calculation!E124=Calculation!$A$147,Calculation!I124,"")</f>
        <v/>
      </c>
      <c r="C124" s="52" t="str">
        <f>IF(Calculation!E124=Calculation!$A$147,Calculation!D124,"")</f>
        <v/>
      </c>
      <c r="D124" s="52" t="str">
        <f>IF(Calculation!E124=Calculation!$A$147,Calculation!C124,"")</f>
        <v/>
      </c>
      <c r="E124" s="52" t="str">
        <f>IF(Calculation!E124=Calculation!$A$147,Calculation!F124,"")</f>
        <v/>
      </c>
      <c r="F124" s="54" t="str">
        <f>IF(Calculation!E124=Calculation!$A$147,Calculation!G124,"")</f>
        <v/>
      </c>
      <c r="G124" s="54" t="str">
        <f>IF(Calculation!E124=Calculation!$A$147,Calculation!H124,"")</f>
        <v/>
      </c>
      <c r="H124" s="55"/>
    </row>
    <row r="125">
      <c r="A125" s="52" t="str">
        <f>IF(Calculation!E125=Calculation!$A$147,Calculation!B125,"")</f>
        <v/>
      </c>
      <c r="B125" s="53" t="str">
        <f>IF(Calculation!E125=Calculation!$A$147,Calculation!I125,"")</f>
        <v/>
      </c>
      <c r="C125" s="52" t="str">
        <f>IF(Calculation!E125=Calculation!$A$147,Calculation!D125,"")</f>
        <v/>
      </c>
      <c r="D125" s="52" t="str">
        <f>IF(Calculation!E125=Calculation!$A$147,Calculation!C125,"")</f>
        <v/>
      </c>
      <c r="E125" s="52" t="str">
        <f>IF(Calculation!E125=Calculation!$A$147,Calculation!F125,"")</f>
        <v/>
      </c>
      <c r="F125" s="54" t="str">
        <f>IF(Calculation!E125=Calculation!$A$147,Calculation!G125,"")</f>
        <v/>
      </c>
      <c r="G125" s="54" t="str">
        <f>IF(Calculation!E125=Calculation!$A$147,Calculation!H125,"")</f>
        <v/>
      </c>
      <c r="H125" s="55"/>
    </row>
  </sheetData>
  <mergeCells count="37">
    <mergeCell ref="A1:H1"/>
    <mergeCell ref="L12:O12"/>
    <mergeCell ref="L13:O13"/>
    <mergeCell ref="L14:O14"/>
    <mergeCell ref="L15:N15"/>
    <mergeCell ref="L17:P17"/>
    <mergeCell ref="O18:P18"/>
    <mergeCell ref="L18:N18"/>
    <mergeCell ref="L19:N19"/>
    <mergeCell ref="O19:P19"/>
    <mergeCell ref="Q19:R19"/>
    <mergeCell ref="L20:N20"/>
    <mergeCell ref="O20:P20"/>
    <mergeCell ref="Q20:R20"/>
    <mergeCell ref="O23:P23"/>
    <mergeCell ref="Q23:R23"/>
    <mergeCell ref="L21:N21"/>
    <mergeCell ref="O21:P21"/>
    <mergeCell ref="Q21:R21"/>
    <mergeCell ref="L22:N22"/>
    <mergeCell ref="O22:P22"/>
    <mergeCell ref="Q22:R22"/>
    <mergeCell ref="L23:N23"/>
    <mergeCell ref="L28:O28"/>
    <mergeCell ref="L29:O29"/>
    <mergeCell ref="L30:O30"/>
    <mergeCell ref="L31:O31"/>
    <mergeCell ref="N33:P33"/>
    <mergeCell ref="N34:P34"/>
    <mergeCell ref="Q35:R35"/>
    <mergeCell ref="L24:N24"/>
    <mergeCell ref="O24:P24"/>
    <mergeCell ref="Q24:R24"/>
    <mergeCell ref="L25:N25"/>
    <mergeCell ref="O25:P25"/>
    <mergeCell ref="Q25:R25"/>
    <mergeCell ref="L27:O27"/>
  </mergeCells>
  <dataValidations>
    <dataValidation type="custom" allowBlank="1" showDropDown="1" sqref="O18 Q24">
      <formula1>OR(NOT(ISERROR(DATEVALUE(O18))), AND(ISNUMBER(O18), LEFT(CELL("format", O18))="D"))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9.13"/>
    <col customWidth="1" min="3" max="3" width="18.63"/>
    <col customWidth="1" min="4" max="4" width="17.63"/>
    <col customWidth="1" min="5" max="5" width="18.75"/>
    <col customWidth="1" min="6" max="6" width="19.25"/>
    <col customWidth="1" min="7" max="8" width="17.38"/>
    <col customWidth="1" min="9" max="9" width="15.13"/>
  </cols>
  <sheetData>
    <row r="1" ht="42.0" customHeight="1">
      <c r="A1" s="49" t="s">
        <v>82</v>
      </c>
      <c r="I1" s="50"/>
    </row>
    <row r="2" ht="29.25" customHeight="1">
      <c r="A2" s="51" t="s">
        <v>45</v>
      </c>
      <c r="B2" s="51" t="s">
        <v>46</v>
      </c>
      <c r="C2" s="51" t="s">
        <v>47</v>
      </c>
      <c r="D2" s="51" t="s">
        <v>48</v>
      </c>
      <c r="E2" s="51" t="s">
        <v>49</v>
      </c>
      <c r="F2" s="51" t="s">
        <v>50</v>
      </c>
      <c r="G2" s="51" t="s">
        <v>51</v>
      </c>
      <c r="H2" s="51" t="s">
        <v>52</v>
      </c>
    </row>
    <row r="3" ht="18.75" customHeight="1">
      <c r="A3" s="52" t="str">
        <f>IF(Calculation!E3=Calculation!$A$148,Calculation!B3,"")</f>
        <v/>
      </c>
      <c r="B3" s="53" t="str">
        <f>IF(Calculation!E3=Calculation!$A$148,Calculation!I3,"")</f>
        <v/>
      </c>
      <c r="C3" s="52" t="str">
        <f>IF(Calculation!E3=Calculation!$A$148,Calculation!D3,"")</f>
        <v/>
      </c>
      <c r="D3" s="52" t="str">
        <f>IF(Calculation!E3=Calculation!$A$148,Calculation!C3,"")</f>
        <v/>
      </c>
      <c r="E3" s="52" t="str">
        <f>IF(Calculation!E3=Calculation!$A$148,Calculation!F3,"")</f>
        <v/>
      </c>
      <c r="F3" s="54" t="str">
        <f>IF(Calculation!E3=Calculation!$A$148,Calculation!G3,"")</f>
        <v/>
      </c>
      <c r="G3" s="54" t="str">
        <f>IF(Calculation!E3=Calculation!$A$148,Calculation!H3,"")</f>
        <v/>
      </c>
      <c r="H3" s="110">
        <f>SUMIF(Calculation!E3:E125,Calculation!A148,Calculation!H3:H125)</f>
        <v>44</v>
      </c>
    </row>
    <row r="4" ht="20.25" customHeight="1">
      <c r="A4" s="52" t="str">
        <f>IF(Calculation!E4=Calculation!$A$148,Calculation!B4,"")</f>
        <v/>
      </c>
      <c r="B4" s="53" t="str">
        <f>IF(Calculation!E4=Calculation!$A$148,Calculation!I4,"")</f>
        <v/>
      </c>
      <c r="C4" s="52" t="str">
        <f>IF(Calculation!E4=Calculation!$A$148,Calculation!D4,"")</f>
        <v/>
      </c>
      <c r="D4" s="52" t="str">
        <f>IF(Calculation!E4=Calculation!$A$148,Calculation!C4,"")</f>
        <v/>
      </c>
      <c r="E4" s="52" t="str">
        <f>IF(Calculation!E4=Calculation!$A$148,Calculation!F4,"")</f>
        <v/>
      </c>
      <c r="F4" s="54" t="str">
        <f>IF(Calculation!E4=Calculation!$A$148,Calculation!G4,"")</f>
        <v/>
      </c>
      <c r="G4" s="54" t="str">
        <f>IF(Calculation!E4=Calculation!$A$148,Calculation!H4,"")</f>
        <v/>
      </c>
      <c r="H4" s="55"/>
    </row>
    <row r="5">
      <c r="A5" s="52" t="str">
        <f>IF(Calculation!E5=Calculation!$A$148,Calculation!B5,"")</f>
        <v/>
      </c>
      <c r="B5" s="53" t="str">
        <f>IF(Calculation!E5=Calculation!$A$148,Calculation!I5,"")</f>
        <v/>
      </c>
      <c r="C5" s="52" t="str">
        <f>IF(Calculation!E5=Calculation!$A$148,Calculation!D5,"")</f>
        <v/>
      </c>
      <c r="D5" s="52" t="str">
        <f>IF(Calculation!E5=Calculation!$A$148,Calculation!C5,"")</f>
        <v/>
      </c>
      <c r="E5" s="52" t="str">
        <f>IF(Calculation!E5=Calculation!$A$148,Calculation!F5,"")</f>
        <v/>
      </c>
      <c r="F5" s="54" t="str">
        <f>IF(Calculation!E5=Calculation!$A$148,Calculation!G5,"")</f>
        <v/>
      </c>
      <c r="G5" s="54" t="str">
        <f>IF(Calculation!E5=Calculation!$A$148,Calculation!H5,"")</f>
        <v/>
      </c>
      <c r="H5" s="55"/>
    </row>
    <row r="6">
      <c r="A6" s="52" t="str">
        <f>IF(Calculation!E6=Calculation!$A$148,Calculation!B6,"")</f>
        <v/>
      </c>
      <c r="B6" s="53" t="str">
        <f>IF(Calculation!E6=Calculation!$A$148,Calculation!I6,"")</f>
        <v/>
      </c>
      <c r="C6" s="52" t="str">
        <f>IF(Calculation!E6=Calculation!$A$148,Calculation!D6,"")</f>
        <v/>
      </c>
      <c r="D6" s="52" t="str">
        <f>IF(Calculation!E6=Calculation!$A$148,Calculation!C6,"")</f>
        <v/>
      </c>
      <c r="E6" s="52" t="str">
        <f>IF(Calculation!E6=Calculation!$A$148,Calculation!F6,"")</f>
        <v/>
      </c>
      <c r="F6" s="54" t="str">
        <f>IF(Calculation!E6=Calculation!$A$148,Calculation!G6,"")</f>
        <v/>
      </c>
      <c r="G6" s="54" t="str">
        <f>IF(Calculation!E6=Calculation!$A$148,Calculation!H6,"")</f>
        <v/>
      </c>
      <c r="H6" s="55"/>
    </row>
    <row r="7">
      <c r="A7" s="52" t="str">
        <f>IF(Calculation!E7=Calculation!$A$148,Calculation!B7,"")</f>
        <v/>
      </c>
      <c r="B7" s="53" t="str">
        <f>IF(Calculation!E7=Calculation!$A$148,Calculation!I7,"")</f>
        <v/>
      </c>
      <c r="C7" s="52" t="str">
        <f>IF(Calculation!E7=Calculation!$A$148,Calculation!D7,"")</f>
        <v/>
      </c>
      <c r="D7" s="52" t="str">
        <f>IF(Calculation!E7=Calculation!$A$148,Calculation!C7,"")</f>
        <v/>
      </c>
      <c r="E7" s="52" t="str">
        <f>IF(Calculation!E7=Calculation!$A$148,Calculation!F7,"")</f>
        <v/>
      </c>
      <c r="F7" s="54" t="str">
        <f>IF(Calculation!E7=Calculation!$A$148,Calculation!G7,"")</f>
        <v/>
      </c>
      <c r="G7" s="54" t="str">
        <f>IF(Calculation!E7=Calculation!$A$148,Calculation!H7,"")</f>
        <v/>
      </c>
      <c r="H7" s="55"/>
    </row>
    <row r="8">
      <c r="A8" s="52" t="str">
        <f>IF(Calculation!E8=Calculation!$A$148,Calculation!B8,"")</f>
        <v/>
      </c>
      <c r="B8" s="53" t="str">
        <f>IF(Calculation!E8=Calculation!$A$148,Calculation!I8,"")</f>
        <v/>
      </c>
      <c r="C8" s="52" t="str">
        <f>IF(Calculation!E8=Calculation!$A$148,Calculation!D8,"")</f>
        <v/>
      </c>
      <c r="D8" s="52" t="str">
        <f>IF(Calculation!E8=Calculation!$A$148,Calculation!C8,"")</f>
        <v/>
      </c>
      <c r="E8" s="52" t="str">
        <f>IF(Calculation!E8=Calculation!$A$148,Calculation!F8,"")</f>
        <v/>
      </c>
      <c r="F8" s="54" t="str">
        <f>IF(Calculation!E8=Calculation!$A$148,Calculation!G8,"")</f>
        <v/>
      </c>
      <c r="G8" s="54" t="str">
        <f>IF(Calculation!E8=Calculation!$A$148,Calculation!H8,"")</f>
        <v/>
      </c>
      <c r="H8" s="55"/>
    </row>
    <row r="9">
      <c r="A9" s="52" t="str">
        <f>IF(Calculation!E9=Calculation!$A$148,Calculation!B9,"")</f>
        <v/>
      </c>
      <c r="B9" s="53" t="str">
        <f>IF(Calculation!E9=Calculation!$A$148,Calculation!I9,"")</f>
        <v/>
      </c>
      <c r="C9" s="52" t="str">
        <f>IF(Calculation!E9=Calculation!$A$148,Calculation!D9,"")</f>
        <v/>
      </c>
      <c r="D9" s="52" t="str">
        <f>IF(Calculation!E9=Calculation!$A$148,Calculation!C9,"")</f>
        <v/>
      </c>
      <c r="E9" s="52" t="str">
        <f>IF(Calculation!E9=Calculation!$A$148,Calculation!F9,"")</f>
        <v/>
      </c>
      <c r="F9" s="54" t="str">
        <f>IF(Calculation!E9=Calculation!$A$148,Calculation!G9,"")</f>
        <v/>
      </c>
      <c r="G9" s="54" t="str">
        <f>IF(Calculation!E9=Calculation!$A$148,Calculation!H9,"")</f>
        <v/>
      </c>
      <c r="H9" s="55"/>
    </row>
    <row r="10">
      <c r="A10" s="52" t="str">
        <f>IF(Calculation!E10=Calculation!$A$148,Calculation!B10,"")</f>
        <v/>
      </c>
      <c r="B10" s="53" t="str">
        <f>IF(Calculation!E10=Calculation!$A$148,Calculation!I10,"")</f>
        <v/>
      </c>
      <c r="C10" s="52" t="str">
        <f>IF(Calculation!E10=Calculation!$A$148,Calculation!D10,"")</f>
        <v/>
      </c>
      <c r="D10" s="52" t="str">
        <f>IF(Calculation!E10=Calculation!$A$148,Calculation!C10,"")</f>
        <v/>
      </c>
      <c r="E10" s="52" t="str">
        <f>IF(Calculation!E10=Calculation!$A$148,Calculation!F10,"")</f>
        <v/>
      </c>
      <c r="F10" s="54" t="str">
        <f>IF(Calculation!E10=Calculation!$A$148,Calculation!G10,"")</f>
        <v/>
      </c>
      <c r="G10" s="54" t="str">
        <f>IF(Calculation!E10=Calculation!$A$148,Calculation!H10,"")</f>
        <v/>
      </c>
      <c r="H10" s="55"/>
    </row>
    <row r="11">
      <c r="A11" s="52" t="str">
        <f>IF(Calculation!E11=Calculation!$A$148,Calculation!B11,"")</f>
        <v/>
      </c>
      <c r="B11" s="53" t="str">
        <f>IF(Calculation!E11=Calculation!$A$148,Calculation!I11,"")</f>
        <v/>
      </c>
      <c r="C11" s="52" t="str">
        <f>IF(Calculation!E11=Calculation!$A$148,Calculation!D11,"")</f>
        <v/>
      </c>
      <c r="D11" s="52" t="str">
        <f>IF(Calculation!E11=Calculation!$A$148,Calculation!C11,"")</f>
        <v/>
      </c>
      <c r="E11" s="52" t="str">
        <f>IF(Calculation!E11=Calculation!$A$148,Calculation!F11,"")</f>
        <v/>
      </c>
      <c r="F11" s="54" t="str">
        <f>IF(Calculation!E11=Calculation!$A$148,Calculation!G11,"")</f>
        <v/>
      </c>
      <c r="G11" s="54" t="str">
        <f>IF(Calculation!E11=Calculation!$A$148,Calculation!H11,"")</f>
        <v/>
      </c>
      <c r="H11" s="55"/>
    </row>
    <row r="12">
      <c r="A12" s="52" t="str">
        <f>IF(Calculation!E12=Calculation!$A$148,Calculation!B12,"")</f>
        <v/>
      </c>
      <c r="B12" s="53" t="str">
        <f>IF(Calculation!E12=Calculation!$A$148,Calculation!I12,"")</f>
        <v/>
      </c>
      <c r="C12" s="52" t="str">
        <f>IF(Calculation!E12=Calculation!$A$148,Calculation!D12,"")</f>
        <v/>
      </c>
      <c r="D12" s="52" t="str">
        <f>IF(Calculation!E12=Calculation!$A$148,Calculation!C12,"")</f>
        <v/>
      </c>
      <c r="E12" s="52" t="str">
        <f>IF(Calculation!E12=Calculation!$A$148,Calculation!F12,"")</f>
        <v/>
      </c>
      <c r="F12" s="54" t="str">
        <f>IF(Calculation!E12=Calculation!$A$148,Calculation!G12,"")</f>
        <v/>
      </c>
      <c r="G12" s="54" t="str">
        <f>IF(Calculation!E12=Calculation!$A$148,Calculation!H12,"")</f>
        <v/>
      </c>
      <c r="H12" s="55"/>
    </row>
    <row r="13">
      <c r="A13" s="52" t="str">
        <f>IF(Calculation!E13=Calculation!$A$148,Calculation!B13,"")</f>
        <v/>
      </c>
      <c r="B13" s="53" t="str">
        <f>IF(Calculation!E13=Calculation!$A$148,Calculation!I13,"")</f>
        <v/>
      </c>
      <c r="C13" s="52" t="str">
        <f>IF(Calculation!E13=Calculation!$A$148,Calculation!D13,"")</f>
        <v/>
      </c>
      <c r="D13" s="52" t="str">
        <f>IF(Calculation!E13=Calculation!$A$148,Calculation!C13,"")</f>
        <v/>
      </c>
      <c r="E13" s="52" t="str">
        <f>IF(Calculation!E13=Calculation!$A$148,Calculation!F13,"")</f>
        <v/>
      </c>
      <c r="F13" s="54" t="str">
        <f>IF(Calculation!E13=Calculation!$A$148,Calculation!G13,"")</f>
        <v/>
      </c>
      <c r="G13" s="54" t="str">
        <f>IF(Calculation!E13=Calculation!$A$148,Calculation!H13,"")</f>
        <v/>
      </c>
      <c r="H13" s="55"/>
    </row>
    <row r="14">
      <c r="A14" s="57">
        <f>IF(Calculation!E14=Calculation!$A$148,Calculation!B14,"")</f>
        <v>45532</v>
      </c>
      <c r="B14" s="53">
        <f>IF(Calculation!E14=Calculation!$A$148,Calculation!I14,"")</f>
        <v>45979</v>
      </c>
      <c r="C14" s="52" t="str">
        <f>IF(Calculation!E14=Calculation!$A$148,Calculation!D14,"")</f>
        <v>Nebil Divay</v>
      </c>
      <c r="D14" s="52" t="str">
        <f>IF(Calculation!E14=Calculation!$A$148,Calculation!C14,"")</f>
        <v>Content for Poster</v>
      </c>
      <c r="E14" s="52">
        <f>IF(Calculation!E14=Calculation!$A$148,Calculation!F14,"")</f>
        <v>1</v>
      </c>
      <c r="F14" s="54">
        <f>IF(Calculation!E14=Calculation!$A$148,Calculation!G14,"")</f>
        <v>44</v>
      </c>
      <c r="G14" s="54">
        <f>IF(Calculation!E14=Calculation!$A$148,Calculation!H14,"")</f>
        <v>44</v>
      </c>
      <c r="H14" s="55"/>
    </row>
    <row r="15">
      <c r="A15" s="52" t="str">
        <f>IF(Calculation!E15=Calculation!$A$148,Calculation!B15,"")</f>
        <v/>
      </c>
      <c r="B15" s="53" t="str">
        <f>IF(Calculation!E15=Calculation!$A$148,Calculation!I15,"")</f>
        <v/>
      </c>
      <c r="C15" s="52" t="str">
        <f>IF(Calculation!E15=Calculation!$A$148,Calculation!D15,"")</f>
        <v/>
      </c>
      <c r="D15" s="52" t="str">
        <f>IF(Calculation!E15=Calculation!$A$148,Calculation!C15,"")</f>
        <v/>
      </c>
      <c r="E15" s="52" t="str">
        <f>IF(Calculation!E15=Calculation!$A$148,Calculation!F15,"")</f>
        <v/>
      </c>
      <c r="F15" s="54" t="str">
        <f>IF(Calculation!E15=Calculation!$A$148,Calculation!G15,"")</f>
        <v/>
      </c>
      <c r="G15" s="54" t="str">
        <f>IF(Calculation!E15=Calculation!$A$148,Calculation!H15,"")</f>
        <v/>
      </c>
      <c r="H15" s="55"/>
    </row>
    <row r="16">
      <c r="A16" s="52" t="str">
        <f>IF(Calculation!E16=Calculation!$A$148,Calculation!B16,"")</f>
        <v/>
      </c>
      <c r="B16" s="53" t="str">
        <f>IF(Calculation!E16=Calculation!$A$148,Calculation!I16,"")</f>
        <v/>
      </c>
      <c r="C16" s="52" t="str">
        <f>IF(Calculation!E16=Calculation!$A$148,Calculation!D16,"")</f>
        <v/>
      </c>
      <c r="D16" s="52" t="str">
        <f>IF(Calculation!E16=Calculation!$A$148,Calculation!C16,"")</f>
        <v/>
      </c>
      <c r="E16" s="52" t="str">
        <f>IF(Calculation!E16=Calculation!$A$148,Calculation!F16,"")</f>
        <v/>
      </c>
      <c r="F16" s="54" t="str">
        <f>IF(Calculation!E16=Calculation!$A$148,Calculation!G16,"")</f>
        <v/>
      </c>
      <c r="G16" s="54" t="str">
        <f>IF(Calculation!E16=Calculation!$A$148,Calculation!H16,"")</f>
        <v/>
      </c>
      <c r="H16" s="55"/>
    </row>
    <row r="17">
      <c r="A17" s="52" t="str">
        <f>IF(Calculation!E17=Calculation!$A$148,Calculation!B17,"")</f>
        <v/>
      </c>
      <c r="B17" s="53" t="str">
        <f>IF(Calculation!E17=Calculation!$A$148,Calculation!I17,"")</f>
        <v/>
      </c>
      <c r="C17" s="52" t="str">
        <f>IF(Calculation!E17=Calculation!$A$148,Calculation!D17,"")</f>
        <v/>
      </c>
      <c r="D17" s="52" t="str">
        <f>IF(Calculation!E17=Calculation!$A$148,Calculation!C17,"")</f>
        <v/>
      </c>
      <c r="E17" s="52" t="str">
        <f>IF(Calculation!E17=Calculation!$A$148,Calculation!F17,"")</f>
        <v/>
      </c>
      <c r="F17" s="54" t="str">
        <f>IF(Calculation!E17=Calculation!$A$148,Calculation!G17,"")</f>
        <v/>
      </c>
      <c r="G17" s="54" t="str">
        <f>IF(Calculation!E17=Calculation!$A$148,Calculation!H17,"")</f>
        <v/>
      </c>
      <c r="H17" s="55"/>
    </row>
    <row r="18">
      <c r="A18" s="52" t="str">
        <f>IF(Calculation!E18=Calculation!$A$148,Calculation!B18,"")</f>
        <v/>
      </c>
      <c r="B18" s="53" t="str">
        <f>IF(Calculation!E18=Calculation!$A$148,Calculation!I18,"")</f>
        <v/>
      </c>
      <c r="C18" s="52" t="str">
        <f>IF(Calculation!E18=Calculation!$A$148,Calculation!D18,"")</f>
        <v/>
      </c>
      <c r="D18" s="52" t="str">
        <f>IF(Calculation!E18=Calculation!$A$148,Calculation!C18,"")</f>
        <v/>
      </c>
      <c r="E18" s="52" t="str">
        <f>IF(Calculation!E18=Calculation!$A$148,Calculation!F18,"")</f>
        <v/>
      </c>
      <c r="F18" s="54" t="str">
        <f>IF(Calculation!E18=Calculation!$A$148,Calculation!G18,"")</f>
        <v/>
      </c>
      <c r="G18" s="54" t="str">
        <f>IF(Calculation!E18=Calculation!$A$148,Calculation!H18,"")</f>
        <v/>
      </c>
      <c r="H18" s="55"/>
    </row>
    <row r="19" ht="23.25" customHeight="1">
      <c r="A19" s="52" t="str">
        <f>IF(Calculation!E19=Calculation!$A$148,Calculation!B19,"")</f>
        <v/>
      </c>
      <c r="B19" s="53" t="str">
        <f>IF(Calculation!E19=Calculation!$A$148,Calculation!I19,"")</f>
        <v/>
      </c>
      <c r="C19" s="52" t="str">
        <f>IF(Calculation!E19=Calculation!$A$148,Calculation!D19,"")</f>
        <v/>
      </c>
      <c r="D19" s="52" t="str">
        <f>IF(Calculation!E19=Calculation!$A$148,Calculation!C19,"")</f>
        <v/>
      </c>
      <c r="E19" s="52" t="str">
        <f>IF(Calculation!E19=Calculation!$A$148,Calculation!F19,"")</f>
        <v/>
      </c>
      <c r="F19" s="54" t="str">
        <f>IF(Calculation!E19=Calculation!$A$148,Calculation!G19,"")</f>
        <v/>
      </c>
      <c r="G19" s="54" t="str">
        <f>IF(Calculation!E19=Calculation!$A$148,Calculation!H19,"")</f>
        <v/>
      </c>
      <c r="H19" s="55"/>
    </row>
    <row r="20" ht="18.0" customHeight="1">
      <c r="A20" s="52" t="str">
        <f>IF(Calculation!E20=Calculation!$A$148,Calculation!B20,"")</f>
        <v/>
      </c>
      <c r="B20" s="53" t="str">
        <f>IF(Calculation!E20=Calculation!$A$148,Calculation!I20,"")</f>
        <v/>
      </c>
      <c r="C20" s="52" t="str">
        <f>IF(Calculation!E20=Calculation!$A$148,Calculation!D20,"")</f>
        <v/>
      </c>
      <c r="D20" s="52" t="str">
        <f>IF(Calculation!E20=Calculation!$A$148,Calculation!C20,"")</f>
        <v/>
      </c>
      <c r="E20" s="52" t="str">
        <f>IF(Calculation!E20=Calculation!$A$148,Calculation!F20,"")</f>
        <v/>
      </c>
      <c r="F20" s="54" t="str">
        <f>IF(Calculation!E20=Calculation!$A$148,Calculation!G20,"")</f>
        <v/>
      </c>
      <c r="G20" s="54" t="str">
        <f>IF(Calculation!E20=Calculation!$A$148,Calculation!H20,"")</f>
        <v/>
      </c>
      <c r="H20" s="55"/>
    </row>
    <row r="21" ht="21.0" customHeight="1">
      <c r="A21" s="52" t="str">
        <f>IF(Calculation!E21=Calculation!$A$148,Calculation!B21,"")</f>
        <v/>
      </c>
      <c r="B21" s="53" t="str">
        <f>IF(Calculation!E21=Calculation!$A$148,Calculation!I21,"")</f>
        <v/>
      </c>
      <c r="C21" s="52" t="str">
        <f>IF(Calculation!E21=Calculation!$A$148,Calculation!D21,"")</f>
        <v/>
      </c>
      <c r="D21" s="52" t="str">
        <f>IF(Calculation!E21=Calculation!$A$148,Calculation!C21,"")</f>
        <v/>
      </c>
      <c r="E21" s="52" t="str">
        <f>IF(Calculation!E21=Calculation!$A$148,Calculation!F21,"")</f>
        <v/>
      </c>
      <c r="F21" s="54" t="str">
        <f>IF(Calculation!E21=Calculation!$A$148,Calculation!G21,"")</f>
        <v/>
      </c>
      <c r="G21" s="54" t="str">
        <f>IF(Calculation!E21=Calculation!$A$148,Calculation!H21,"")</f>
        <v/>
      </c>
      <c r="H21" s="55"/>
    </row>
    <row r="22" ht="21.0" customHeight="1">
      <c r="A22" s="52" t="str">
        <f>IF(Calculation!E22=Calculation!$A$148,Calculation!B22,"")</f>
        <v/>
      </c>
      <c r="B22" s="53" t="str">
        <f>IF(Calculation!E22=Calculation!$A$148,Calculation!I22,"")</f>
        <v/>
      </c>
      <c r="C22" s="52" t="str">
        <f>IF(Calculation!E22=Calculation!$A$148,Calculation!D22,"")</f>
        <v/>
      </c>
      <c r="D22" s="52" t="str">
        <f>IF(Calculation!E22=Calculation!$A$148,Calculation!C22,"")</f>
        <v/>
      </c>
      <c r="E22" s="52" t="str">
        <f>IF(Calculation!E22=Calculation!$A$148,Calculation!F22,"")</f>
        <v/>
      </c>
      <c r="F22" s="54" t="str">
        <f>IF(Calculation!E22=Calculation!$A$148,Calculation!G22,"")</f>
        <v/>
      </c>
      <c r="G22" s="54" t="str">
        <f>IF(Calculation!E22=Calculation!$A$148,Calculation!H22,"")</f>
        <v/>
      </c>
      <c r="H22" s="55"/>
    </row>
    <row r="23" ht="20.25" customHeight="1">
      <c r="A23" s="52" t="str">
        <f>IF(Calculation!E23=Calculation!$A$148,Calculation!B23,"")</f>
        <v/>
      </c>
      <c r="B23" s="53" t="str">
        <f>IF(Calculation!E23=Calculation!$A$148,Calculation!I23,"")</f>
        <v/>
      </c>
      <c r="C23" s="52" t="str">
        <f>IF(Calculation!E23=Calculation!$A$148,Calculation!D23,"")</f>
        <v/>
      </c>
      <c r="D23" s="52" t="str">
        <f>IF(Calculation!E23=Calculation!$A$148,Calculation!C23,"")</f>
        <v/>
      </c>
      <c r="E23" s="52" t="str">
        <f>IF(Calculation!E23=Calculation!$A$148,Calculation!F23,"")</f>
        <v/>
      </c>
      <c r="F23" s="54" t="str">
        <f>IF(Calculation!E23=Calculation!$A$148,Calculation!G23,"")</f>
        <v/>
      </c>
      <c r="G23" s="54" t="str">
        <f>IF(Calculation!E23=Calculation!$A$148,Calculation!H23,"")</f>
        <v/>
      </c>
      <c r="H23" s="55"/>
    </row>
    <row r="24">
      <c r="A24" s="52" t="str">
        <f>IF(Calculation!E24=Calculation!$A$148,Calculation!B24,"")</f>
        <v/>
      </c>
      <c r="B24" s="53" t="str">
        <f>IF(Calculation!E24=Calculation!$A$148,Calculation!I24,"")</f>
        <v/>
      </c>
      <c r="C24" s="52" t="str">
        <f>IF(Calculation!E24=Calculation!$A$148,Calculation!D24,"")</f>
        <v/>
      </c>
      <c r="D24" s="52" t="str">
        <f>IF(Calculation!E24=Calculation!$A$148,Calculation!C24,"")</f>
        <v/>
      </c>
      <c r="E24" s="52" t="str">
        <f>IF(Calculation!E24=Calculation!$A$148,Calculation!F24,"")</f>
        <v/>
      </c>
      <c r="F24" s="54" t="str">
        <f>IF(Calculation!E24=Calculation!$A$148,Calculation!G24,"")</f>
        <v/>
      </c>
      <c r="G24" s="54" t="str">
        <f>IF(Calculation!E24=Calculation!$A$148,Calculation!H24,"")</f>
        <v/>
      </c>
      <c r="H24" s="55"/>
    </row>
    <row r="25">
      <c r="A25" s="52" t="str">
        <f>IF(Calculation!E25=Calculation!$A$148,Calculation!B25,"")</f>
        <v/>
      </c>
      <c r="B25" s="53" t="str">
        <f>IF(Calculation!E25=Calculation!$A$148,Calculation!I25,"")</f>
        <v/>
      </c>
      <c r="C25" s="52" t="str">
        <f>IF(Calculation!E25=Calculation!$A$148,Calculation!D25,"")</f>
        <v/>
      </c>
      <c r="D25" s="52" t="str">
        <f>IF(Calculation!E25=Calculation!$A$148,Calculation!C25,"")</f>
        <v/>
      </c>
      <c r="E25" s="52" t="str">
        <f>IF(Calculation!E25=Calculation!$A$148,Calculation!F25,"")</f>
        <v/>
      </c>
      <c r="F25" s="54" t="str">
        <f>IF(Calculation!E25=Calculation!$A$148,Calculation!G25,"")</f>
        <v/>
      </c>
      <c r="G25" s="54" t="str">
        <f>IF(Calculation!E25=Calculation!$A$148,Calculation!H25,"")</f>
        <v/>
      </c>
      <c r="H25" s="55"/>
    </row>
    <row r="26">
      <c r="A26" s="52" t="str">
        <f>IF(Calculation!E26=Calculation!$A$148,Calculation!B26,"")</f>
        <v/>
      </c>
      <c r="B26" s="53" t="str">
        <f>IF(Calculation!E26=Calculation!$A$148,Calculation!I26,"")</f>
        <v/>
      </c>
      <c r="C26" s="52" t="str">
        <f>IF(Calculation!E26=Calculation!$A$148,Calculation!D26,"")</f>
        <v/>
      </c>
      <c r="D26" s="52" t="str">
        <f>IF(Calculation!E26=Calculation!$A$148,Calculation!C26,"")</f>
        <v/>
      </c>
      <c r="E26" s="52" t="str">
        <f>IF(Calculation!E26=Calculation!$A$148,Calculation!F26,"")</f>
        <v/>
      </c>
      <c r="F26" s="54" t="str">
        <f>IF(Calculation!E26=Calculation!$A$148,Calculation!G26,"")</f>
        <v/>
      </c>
      <c r="G26" s="54" t="str">
        <f>IF(Calculation!E26=Calculation!$A$148,Calculation!H26,"")</f>
        <v/>
      </c>
      <c r="H26" s="55"/>
    </row>
    <row r="27">
      <c r="A27" s="52" t="str">
        <f>IF(Calculation!E27=Calculation!$A$148,Calculation!B27,"")</f>
        <v/>
      </c>
      <c r="B27" s="53" t="str">
        <f>IF(Calculation!E27=Calculation!$A$148,Calculation!I27,"")</f>
        <v/>
      </c>
      <c r="C27" s="52" t="str">
        <f>IF(Calculation!E27=Calculation!$A$148,Calculation!D27,"")</f>
        <v/>
      </c>
      <c r="D27" s="52" t="str">
        <f>IF(Calculation!E27=Calculation!$A$148,Calculation!C27,"")</f>
        <v/>
      </c>
      <c r="E27" s="52" t="str">
        <f>IF(Calculation!E27=Calculation!$A$148,Calculation!F27,"")</f>
        <v/>
      </c>
      <c r="F27" s="54" t="str">
        <f>IF(Calculation!E27=Calculation!$A$148,Calculation!G27,"")</f>
        <v/>
      </c>
      <c r="G27" s="54" t="str">
        <f>IF(Calculation!E27=Calculation!$A$148,Calculation!H27,"")</f>
        <v/>
      </c>
      <c r="H27" s="55"/>
    </row>
    <row r="28">
      <c r="A28" s="52" t="str">
        <f>IF(Calculation!E28=Calculation!$A$148,Calculation!B28,"")</f>
        <v/>
      </c>
      <c r="B28" s="53" t="str">
        <f>IF(Calculation!E28=Calculation!$A$148,Calculation!I28,"")</f>
        <v/>
      </c>
      <c r="C28" s="52" t="str">
        <f>IF(Calculation!E28=Calculation!$A$148,Calculation!D28,"")</f>
        <v/>
      </c>
      <c r="D28" s="52" t="str">
        <f>IF(Calculation!E28=Calculation!$A$148,Calculation!C28,"")</f>
        <v/>
      </c>
      <c r="E28" s="52" t="str">
        <f>IF(Calculation!E28=Calculation!$A$148,Calculation!F28,"")</f>
        <v/>
      </c>
      <c r="F28" s="54" t="str">
        <f>IF(Calculation!E28=Calculation!$A$148,Calculation!G28,"")</f>
        <v/>
      </c>
      <c r="G28" s="54" t="str">
        <f>IF(Calculation!E28=Calculation!$A$148,Calculation!H28,"")</f>
        <v/>
      </c>
      <c r="H28" s="55"/>
    </row>
    <row r="29">
      <c r="A29" s="52" t="str">
        <f>IF(Calculation!E29=Calculation!$A$148,Calculation!B29,"")</f>
        <v/>
      </c>
      <c r="B29" s="53" t="str">
        <f>IF(Calculation!E29=Calculation!$A$148,Calculation!I29,"")</f>
        <v/>
      </c>
      <c r="C29" s="52" t="str">
        <f>IF(Calculation!E29=Calculation!$A$148,Calculation!D29,"")</f>
        <v/>
      </c>
      <c r="D29" s="52" t="str">
        <f>IF(Calculation!E29=Calculation!$A$148,Calculation!C29,"")</f>
        <v/>
      </c>
      <c r="E29" s="52" t="str">
        <f>IF(Calculation!E29=Calculation!$A$148,Calculation!F29,"")</f>
        <v/>
      </c>
      <c r="F29" s="54" t="str">
        <f>IF(Calculation!E29=Calculation!$A$148,Calculation!G29,"")</f>
        <v/>
      </c>
      <c r="G29" s="54" t="str">
        <f>IF(Calculation!E29=Calculation!$A$148,Calculation!H29,"")</f>
        <v/>
      </c>
      <c r="H29" s="55"/>
      <c r="M29" s="59"/>
      <c r="N29" s="59"/>
      <c r="O29" s="59"/>
      <c r="P29" s="59"/>
      <c r="Q29" s="59"/>
      <c r="R29" s="59"/>
      <c r="S29" s="59"/>
      <c r="T29" s="61"/>
    </row>
    <row r="30">
      <c r="A30" s="52" t="str">
        <f>IF(Calculation!E30=Calculation!$A$148,Calculation!B30,"")</f>
        <v/>
      </c>
      <c r="B30" s="53" t="str">
        <f>IF(Calculation!E30=Calculation!$A$148,Calculation!I30,"")</f>
        <v/>
      </c>
      <c r="C30" s="52" t="str">
        <f>IF(Calculation!E30=Calculation!$A$148,Calculation!D30,"")</f>
        <v/>
      </c>
      <c r="D30" s="52" t="str">
        <f>IF(Calculation!E30=Calculation!$A$148,Calculation!C30,"")</f>
        <v/>
      </c>
      <c r="E30" s="52" t="str">
        <f>IF(Calculation!E30=Calculation!$A$148,Calculation!F30,"")</f>
        <v/>
      </c>
      <c r="F30" s="54" t="str">
        <f>IF(Calculation!E30=Calculation!$A$148,Calculation!G30,"")</f>
        <v/>
      </c>
      <c r="G30" s="54" t="str">
        <f>IF(Calculation!E30=Calculation!$A$148,Calculation!H30,"")</f>
        <v/>
      </c>
      <c r="H30" s="55"/>
      <c r="M30" s="62"/>
      <c r="N30" s="62"/>
      <c r="O30" s="62"/>
      <c r="P30" s="62"/>
      <c r="Q30" s="62"/>
      <c r="R30" s="62"/>
      <c r="S30" s="62"/>
      <c r="T30" s="64"/>
    </row>
    <row r="31">
      <c r="A31" s="52" t="str">
        <f>IF(Calculation!E31=Calculation!$A$148,Calculation!B31,"")</f>
        <v/>
      </c>
      <c r="B31" s="53" t="str">
        <f>IF(Calculation!E31=Calculation!$A$148,Calculation!I31,"")</f>
        <v/>
      </c>
      <c r="C31" s="52" t="str">
        <f>IF(Calculation!E31=Calculation!$A$148,Calculation!D31,"")</f>
        <v/>
      </c>
      <c r="D31" s="52" t="str">
        <f>IF(Calculation!E31=Calculation!$A$148,Calculation!C31,"")</f>
        <v/>
      </c>
      <c r="E31" s="52" t="str">
        <f>IF(Calculation!E31=Calculation!$A$148,Calculation!F31,"")</f>
        <v/>
      </c>
      <c r="F31" s="54" t="str">
        <f>IF(Calculation!E31=Calculation!$A$148,Calculation!G31,"")</f>
        <v/>
      </c>
      <c r="G31" s="54" t="str">
        <f>IF(Calculation!E31=Calculation!$A$148,Calculation!H31,"")</f>
        <v/>
      </c>
      <c r="H31" s="55"/>
      <c r="M31" s="65" t="s">
        <v>53</v>
      </c>
      <c r="P31" s="62"/>
      <c r="Q31" s="62"/>
      <c r="R31" s="62"/>
      <c r="S31" s="62"/>
      <c r="T31" s="64"/>
    </row>
    <row r="32">
      <c r="A32" s="52" t="str">
        <f>IF(Calculation!E32=Calculation!$A$148,Calculation!B32,"")</f>
        <v/>
      </c>
      <c r="B32" s="53" t="str">
        <f>IF(Calculation!E32=Calculation!$A$148,Calculation!I32,"")</f>
        <v/>
      </c>
      <c r="C32" s="52" t="str">
        <f>IF(Calculation!E32=Calculation!$A$148,Calculation!D32,"")</f>
        <v/>
      </c>
      <c r="D32" s="52" t="str">
        <f>IF(Calculation!E32=Calculation!$A$148,Calculation!C32,"")</f>
        <v/>
      </c>
      <c r="E32" s="52" t="str">
        <f>IF(Calculation!E32=Calculation!$A$148,Calculation!F32,"")</f>
        <v/>
      </c>
      <c r="F32" s="54" t="str">
        <f>IF(Calculation!E32=Calculation!$A$148,Calculation!G32,"")</f>
        <v/>
      </c>
      <c r="G32" s="54" t="str">
        <f>IF(Calculation!E32=Calculation!$A$148,Calculation!H32,"")</f>
        <v/>
      </c>
      <c r="H32" s="55"/>
      <c r="M32" s="106" t="s">
        <v>75</v>
      </c>
      <c r="P32" s="62"/>
      <c r="Q32" s="62"/>
      <c r="R32" s="62"/>
      <c r="S32" s="62"/>
      <c r="T32" s="64"/>
    </row>
    <row r="33">
      <c r="A33" s="52" t="str">
        <f>IF(Calculation!E33=Calculation!$A$148,Calculation!B33,"")</f>
        <v/>
      </c>
      <c r="B33" s="53" t="str">
        <f>IF(Calculation!E33=Calculation!$A$148,Calculation!I33,"")</f>
        <v/>
      </c>
      <c r="C33" s="52" t="str">
        <f>IF(Calculation!E33=Calculation!$A$148,Calculation!D33,"")</f>
        <v/>
      </c>
      <c r="D33" s="52" t="str">
        <f>IF(Calculation!E33=Calculation!$A$148,Calculation!C33,"")</f>
        <v/>
      </c>
      <c r="E33" s="52" t="str">
        <f>IF(Calculation!E33=Calculation!$A$148,Calculation!F33,"")</f>
        <v/>
      </c>
      <c r="F33" s="54" t="str">
        <f>IF(Calculation!E33=Calculation!$A$148,Calculation!G33,"")</f>
        <v/>
      </c>
      <c r="G33" s="54" t="str">
        <f>IF(Calculation!E33=Calculation!$A$148,Calculation!H33,"")</f>
        <v/>
      </c>
      <c r="H33" s="55"/>
      <c r="M33" s="107" t="s">
        <v>76</v>
      </c>
      <c r="P33" s="62"/>
      <c r="Q33" s="62"/>
      <c r="R33" s="62"/>
      <c r="S33" s="62"/>
      <c r="T33" s="64"/>
    </row>
    <row r="34">
      <c r="A34" s="52" t="str">
        <f>IF(Calculation!E34=Calculation!$A$148,Calculation!B34,"")</f>
        <v/>
      </c>
      <c r="B34" s="53" t="str">
        <f>IF(Calculation!E34=Calculation!$A$148,Calculation!I34,"")</f>
        <v/>
      </c>
      <c r="C34" s="52" t="str">
        <f>IF(Calculation!E34=Calculation!$A$148,Calculation!D34,"")</f>
        <v/>
      </c>
      <c r="D34" s="52" t="str">
        <f>IF(Calculation!E34=Calculation!$A$148,Calculation!C34,"")</f>
        <v/>
      </c>
      <c r="E34" s="52" t="str">
        <f>IF(Calculation!E34=Calculation!$A$148,Calculation!F34,"")</f>
        <v/>
      </c>
      <c r="F34" s="54" t="str">
        <f>IF(Calculation!E34=Calculation!$A$148,Calculation!G34,"")</f>
        <v/>
      </c>
      <c r="G34" s="54" t="str">
        <f>IF(Calculation!E34=Calculation!$A$148,Calculation!H34,"")</f>
        <v/>
      </c>
      <c r="H34" s="55"/>
      <c r="M34" s="78" t="s">
        <v>77</v>
      </c>
      <c r="P34" s="69"/>
      <c r="Q34" s="69"/>
      <c r="R34" s="69"/>
      <c r="S34" s="69"/>
      <c r="T34" s="70"/>
    </row>
    <row r="35">
      <c r="A35" s="52" t="str">
        <f>IF(Calculation!E35=Calculation!$A$148,Calculation!B35,"")</f>
        <v/>
      </c>
      <c r="B35" s="53" t="str">
        <f>IF(Calculation!E35=Calculation!$A$148,Calculation!I35,"")</f>
        <v/>
      </c>
      <c r="C35" s="52" t="str">
        <f>IF(Calculation!E35=Calculation!$A$148,Calculation!D35,"")</f>
        <v/>
      </c>
      <c r="D35" s="52" t="str">
        <f>IF(Calculation!E35=Calculation!$A$148,Calculation!C35,"")</f>
        <v/>
      </c>
      <c r="E35" s="52" t="str">
        <f>IF(Calculation!E35=Calculation!$A$148,Calculation!F35,"")</f>
        <v/>
      </c>
      <c r="F35" s="54" t="str">
        <f>IF(Calculation!E35=Calculation!$A$148,Calculation!G35,"")</f>
        <v/>
      </c>
      <c r="G35" s="54" t="str">
        <f>IF(Calculation!E35=Calculation!$A$148,Calculation!H35,"")</f>
        <v/>
      </c>
      <c r="H35" s="55"/>
      <c r="M35" s="62"/>
      <c r="N35" s="62"/>
      <c r="O35" s="62"/>
      <c r="P35" s="62"/>
      <c r="Q35" s="62"/>
      <c r="R35" s="62"/>
      <c r="S35" s="62"/>
      <c r="T35" s="64"/>
    </row>
    <row r="36">
      <c r="A36" s="52" t="str">
        <f>IF(Calculation!E36=Calculation!$A$148,Calculation!B36,"")</f>
        <v/>
      </c>
      <c r="B36" s="53" t="str">
        <f>IF(Calculation!E36=Calculation!$A$148,Calculation!I36,"")</f>
        <v/>
      </c>
      <c r="C36" s="52" t="str">
        <f>IF(Calculation!E36=Calculation!$A$148,Calculation!D36,"")</f>
        <v/>
      </c>
      <c r="D36" s="52" t="str">
        <f>IF(Calculation!E36=Calculation!$A$148,Calculation!C36,"")</f>
        <v/>
      </c>
      <c r="E36" s="52" t="str">
        <f>IF(Calculation!E36=Calculation!$A$148,Calculation!F36,"")</f>
        <v/>
      </c>
      <c r="F36" s="54" t="str">
        <f>IF(Calculation!E36=Calculation!$A$148,Calculation!G36,"")</f>
        <v/>
      </c>
      <c r="G36" s="54" t="str">
        <f>IF(Calculation!E36=Calculation!$A$148,Calculation!H36,"")</f>
        <v/>
      </c>
      <c r="H36" s="55"/>
      <c r="M36" s="108" t="s">
        <v>78</v>
      </c>
      <c r="Q36" s="62"/>
      <c r="R36" s="62"/>
      <c r="S36" s="69"/>
      <c r="T36" s="70"/>
    </row>
    <row r="37">
      <c r="A37" s="52" t="str">
        <f>IF(Calculation!E37=Calculation!$A$148,Calculation!B37,"")</f>
        <v/>
      </c>
      <c r="B37" s="53" t="str">
        <f>IF(Calculation!E37=Calculation!$A$148,Calculation!I37,"")</f>
        <v/>
      </c>
      <c r="C37" s="52" t="str">
        <f>IF(Calculation!E37=Calculation!$A$148,Calculation!D37,"")</f>
        <v/>
      </c>
      <c r="D37" s="52" t="str">
        <f>IF(Calculation!E37=Calculation!$A$148,Calculation!C37,"")</f>
        <v/>
      </c>
      <c r="E37" s="52" t="str">
        <f>IF(Calculation!E37=Calculation!$A$148,Calculation!F37,"")</f>
        <v/>
      </c>
      <c r="F37" s="54" t="str">
        <f>IF(Calculation!E37=Calculation!$A$148,Calculation!G37,"")</f>
        <v/>
      </c>
      <c r="G37" s="54" t="str">
        <f>IF(Calculation!E37=Calculation!$A$148,Calculation!H37,"")</f>
        <v/>
      </c>
      <c r="H37" s="55"/>
      <c r="M37" s="74" t="s">
        <v>58</v>
      </c>
      <c r="P37" s="75"/>
      <c r="Q37" s="62"/>
      <c r="R37" s="62"/>
      <c r="S37" s="69"/>
      <c r="T37" s="70"/>
    </row>
    <row r="38">
      <c r="A38" s="52" t="str">
        <f>IF(Calculation!E38=Calculation!$A$148,Calculation!B38,"")</f>
        <v/>
      </c>
      <c r="B38" s="53" t="str">
        <f>IF(Calculation!E38=Calculation!$A$148,Calculation!I38,"")</f>
        <v/>
      </c>
      <c r="C38" s="52" t="str">
        <f>IF(Calculation!E38=Calculation!$A$148,Calculation!D38,"")</f>
        <v/>
      </c>
      <c r="D38" s="52" t="str">
        <f>IF(Calculation!E38=Calculation!$A$148,Calculation!C38,"")</f>
        <v/>
      </c>
      <c r="E38" s="52" t="str">
        <f>IF(Calculation!E38=Calculation!$A$148,Calculation!F38,"")</f>
        <v/>
      </c>
      <c r="F38" s="54" t="str">
        <f>IF(Calculation!E38=Calculation!$A$148,Calculation!G38,"")</f>
        <v/>
      </c>
      <c r="G38" s="54" t="str">
        <f>IF(Calculation!E38=Calculation!$A$148,Calculation!H38,"")</f>
        <v/>
      </c>
      <c r="H38" s="55"/>
      <c r="M38" s="76"/>
      <c r="P38" s="62"/>
      <c r="Q38" s="62"/>
      <c r="S38" s="69"/>
      <c r="T38" s="70"/>
    </row>
    <row r="39">
      <c r="A39" s="52" t="str">
        <f>IF(Calculation!E39=Calculation!$A$148,Calculation!B39,"")</f>
        <v/>
      </c>
      <c r="B39" s="53" t="str">
        <f>IF(Calculation!E39=Calculation!$A$148,Calculation!I39,"")</f>
        <v/>
      </c>
      <c r="C39" s="52" t="str">
        <f>IF(Calculation!E39=Calculation!$A$148,Calculation!D39,"")</f>
        <v/>
      </c>
      <c r="D39" s="52" t="str">
        <f>IF(Calculation!E39=Calculation!$A$148,Calculation!C39,"")</f>
        <v/>
      </c>
      <c r="E39" s="52" t="str">
        <f>IF(Calculation!E39=Calculation!$A$148,Calculation!F39,"")</f>
        <v/>
      </c>
      <c r="F39" s="54" t="str">
        <f>IF(Calculation!E39=Calculation!$A$148,Calculation!G39,"")</f>
        <v/>
      </c>
      <c r="G39" s="54" t="str">
        <f>IF(Calculation!E39=Calculation!$A$148,Calculation!H39,"")</f>
        <v/>
      </c>
      <c r="H39" s="55"/>
      <c r="M39" s="77" t="s">
        <v>59</v>
      </c>
      <c r="P39" s="77"/>
      <c r="Q39" s="77" t="s">
        <v>61</v>
      </c>
      <c r="S39" s="69"/>
      <c r="T39" s="70"/>
    </row>
    <row r="40">
      <c r="A40" s="52" t="str">
        <f>IF(Calculation!E40=Calculation!$A$148,Calculation!B40,"")</f>
        <v/>
      </c>
      <c r="B40" s="53" t="str">
        <f>IF(Calculation!E40=Calculation!$A$148,Calculation!I40,"")</f>
        <v/>
      </c>
      <c r="C40" s="52" t="str">
        <f>IF(Calculation!E40=Calculation!$A$148,Calculation!D40,"")</f>
        <v/>
      </c>
      <c r="D40" s="52" t="str">
        <f>IF(Calculation!E40=Calculation!$A$148,Calculation!C40,"")</f>
        <v/>
      </c>
      <c r="E40" s="52" t="str">
        <f>IF(Calculation!E40=Calculation!$A$148,Calculation!F40,"")</f>
        <v/>
      </c>
      <c r="F40" s="54" t="str">
        <f>IF(Calculation!E40=Calculation!$A$148,Calculation!G40,"")</f>
        <v/>
      </c>
      <c r="G40" s="54" t="str">
        <f>IF(Calculation!E40=Calculation!$A$148,Calculation!H40,"")</f>
        <v/>
      </c>
      <c r="H40" s="55"/>
      <c r="M40" s="78" t="str">
        <f>Calculation!A148</f>
        <v>Sreeju</v>
      </c>
      <c r="P40" s="78"/>
      <c r="Q40" s="79">
        <v>123456.0</v>
      </c>
      <c r="S40" s="69"/>
      <c r="T40" s="70"/>
    </row>
    <row r="41">
      <c r="A41" s="52" t="str">
        <f>IF(Calculation!E41=Calculation!$A$148,Calculation!B41,"")</f>
        <v/>
      </c>
      <c r="B41" s="53" t="str">
        <f>IF(Calculation!E41=Calculation!$A$148,Calculation!I41,"")</f>
        <v/>
      </c>
      <c r="C41" s="52" t="str">
        <f>IF(Calculation!E41=Calculation!$A$148,Calculation!D41,"")</f>
        <v/>
      </c>
      <c r="D41" s="52" t="str">
        <f>IF(Calculation!E41=Calculation!$A$148,Calculation!C41,"")</f>
        <v/>
      </c>
      <c r="E41" s="52" t="str">
        <f>IF(Calculation!E41=Calculation!$A$148,Calculation!F41,"")</f>
        <v/>
      </c>
      <c r="F41" s="54" t="str">
        <f>IF(Calculation!E41=Calculation!$A$148,Calculation!G41,"")</f>
        <v/>
      </c>
      <c r="G41" s="54" t="str">
        <f>IF(Calculation!E41=Calculation!$A$148,Calculation!H41,"")</f>
        <v/>
      </c>
      <c r="H41" s="55"/>
      <c r="M41" s="78" t="s">
        <v>62</v>
      </c>
      <c r="P41" s="72"/>
      <c r="Q41" s="62"/>
      <c r="S41" s="69"/>
      <c r="T41" s="70"/>
    </row>
    <row r="42">
      <c r="A42" s="52" t="str">
        <f>IF(Calculation!E42=Calculation!$A$148,Calculation!B42,"")</f>
        <v/>
      </c>
      <c r="B42" s="53" t="str">
        <f>IF(Calculation!E42=Calculation!$A$148,Calculation!I42,"")</f>
        <v/>
      </c>
      <c r="C42" s="52" t="str">
        <f>IF(Calculation!E42=Calculation!$A$148,Calculation!D42,"")</f>
        <v/>
      </c>
      <c r="D42" s="52" t="str">
        <f>IF(Calculation!E42=Calculation!$A$148,Calculation!C42,"")</f>
        <v/>
      </c>
      <c r="E42" s="52" t="str">
        <f>IF(Calculation!E42=Calculation!$A$148,Calculation!F42,"")</f>
        <v/>
      </c>
      <c r="F42" s="54" t="str">
        <f>IF(Calculation!E42=Calculation!$A$148,Calculation!G42,"")</f>
        <v/>
      </c>
      <c r="G42" s="54" t="str">
        <f>IF(Calculation!E42=Calculation!$A$148,Calculation!H42,"")</f>
        <v/>
      </c>
      <c r="H42" s="55"/>
      <c r="M42" s="78" t="s">
        <v>63</v>
      </c>
      <c r="P42" s="80"/>
      <c r="Q42" s="80" t="s">
        <v>65</v>
      </c>
      <c r="S42" s="69"/>
      <c r="T42" s="70"/>
    </row>
    <row r="43">
      <c r="A43" s="52" t="str">
        <f>IF(Calculation!E43=Calculation!$A$148,Calculation!B43,"")</f>
        <v/>
      </c>
      <c r="B43" s="53" t="str">
        <f>IF(Calculation!E43=Calculation!$A$148,Calculation!I43,"")</f>
        <v/>
      </c>
      <c r="C43" s="52" t="str">
        <f>IF(Calculation!E43=Calculation!$A$148,Calculation!D43,"")</f>
        <v/>
      </c>
      <c r="D43" s="52" t="str">
        <f>IF(Calculation!E43=Calculation!$A$148,Calculation!C43,"")</f>
        <v/>
      </c>
      <c r="E43" s="52" t="str">
        <f>IF(Calculation!E43=Calculation!$A$148,Calculation!F43,"")</f>
        <v/>
      </c>
      <c r="F43" s="54" t="str">
        <f>IF(Calculation!E43=Calculation!$A$148,Calculation!G43,"")</f>
        <v/>
      </c>
      <c r="G43" s="54" t="str">
        <f>IF(Calculation!E43=Calculation!$A$148,Calculation!H43,"")</f>
        <v/>
      </c>
      <c r="H43" s="55"/>
      <c r="M43" s="78" t="s">
        <v>66</v>
      </c>
      <c r="P43" s="78"/>
      <c r="Q43" s="75">
        <v>36531.0</v>
      </c>
      <c r="S43" s="69"/>
      <c r="T43" s="70"/>
    </row>
    <row r="44">
      <c r="A44" s="52" t="str">
        <f>IF(Calculation!E44=Calculation!$A$148,Calculation!B44,"")</f>
        <v/>
      </c>
      <c r="B44" s="53" t="str">
        <f>IF(Calculation!E44=Calculation!$A$148,Calculation!I44,"")</f>
        <v/>
      </c>
      <c r="C44" s="52" t="str">
        <f>IF(Calculation!E44=Calculation!$A$148,Calculation!D44,"")</f>
        <v/>
      </c>
      <c r="D44" s="52" t="str">
        <f>IF(Calculation!E44=Calculation!$A$148,Calculation!C44,"")</f>
        <v/>
      </c>
      <c r="E44" s="52" t="str">
        <f>IF(Calculation!E44=Calculation!$A$148,Calculation!F44,"")</f>
        <v/>
      </c>
      <c r="F44" s="54" t="str">
        <f>IF(Calculation!E44=Calculation!$A$148,Calculation!G44,"")</f>
        <v/>
      </c>
      <c r="G44" s="54" t="str">
        <f>IF(Calculation!E44=Calculation!$A$148,Calculation!H44,"")</f>
        <v/>
      </c>
      <c r="H44" s="55"/>
      <c r="M44" s="81"/>
      <c r="N44" s="82"/>
      <c r="O44" s="82"/>
      <c r="P44" s="81"/>
      <c r="Q44" s="81"/>
      <c r="R44" s="82"/>
      <c r="S44" s="62"/>
      <c r="T44" s="64"/>
    </row>
    <row r="45">
      <c r="A45" s="52" t="str">
        <f>IF(Calculation!E45=Calculation!$A$148,Calculation!B45,"")</f>
        <v/>
      </c>
      <c r="B45" s="53" t="str">
        <f>IF(Calculation!E45=Calculation!$A$148,Calculation!I45,"")</f>
        <v/>
      </c>
      <c r="C45" s="52" t="str">
        <f>IF(Calculation!E45=Calculation!$A$148,Calculation!D45,"")</f>
        <v/>
      </c>
      <c r="D45" s="52" t="str">
        <f>IF(Calculation!E45=Calculation!$A$148,Calculation!C45,"")</f>
        <v/>
      </c>
      <c r="E45" s="52" t="str">
        <f>IF(Calculation!E45=Calculation!$A$148,Calculation!F45,"")</f>
        <v/>
      </c>
      <c r="F45" s="54" t="str">
        <f>IF(Calculation!E45=Calculation!$A$148,Calculation!G45,"")</f>
        <v/>
      </c>
      <c r="G45" s="54" t="str">
        <f>IF(Calculation!E45=Calculation!$A$148,Calculation!H45,"")</f>
        <v/>
      </c>
      <c r="H45" s="55"/>
      <c r="M45" s="62"/>
      <c r="N45" s="62"/>
      <c r="O45" s="62"/>
      <c r="P45" s="69"/>
      <c r="Q45" s="62"/>
      <c r="R45" s="62"/>
      <c r="S45" s="69"/>
      <c r="T45" s="70"/>
    </row>
    <row r="46">
      <c r="A46" s="52" t="str">
        <f>IF(Calculation!E46=Calculation!$A$148,Calculation!B46,"")</f>
        <v/>
      </c>
      <c r="B46" s="53" t="str">
        <f>IF(Calculation!E46=Calculation!$A$148,Calculation!I46,"")</f>
        <v/>
      </c>
      <c r="C46" s="52" t="str">
        <f>IF(Calculation!E46=Calculation!$A$148,Calculation!D46,"")</f>
        <v/>
      </c>
      <c r="D46" s="52" t="str">
        <f>IF(Calculation!E46=Calculation!$A$148,Calculation!C46,"")</f>
        <v/>
      </c>
      <c r="E46" s="52" t="str">
        <f>IF(Calculation!E46=Calculation!$A$148,Calculation!F46,"")</f>
        <v/>
      </c>
      <c r="F46" s="54" t="str">
        <f>IF(Calculation!E46=Calculation!$A$148,Calculation!G46,"")</f>
        <v/>
      </c>
      <c r="G46" s="54" t="str">
        <f>IF(Calculation!E46=Calculation!$A$148,Calculation!H46,"")</f>
        <v/>
      </c>
      <c r="H46" s="55"/>
      <c r="M46" s="83" t="s">
        <v>68</v>
      </c>
      <c r="P46" s="84" t="s">
        <v>49</v>
      </c>
      <c r="Q46" s="84" t="s">
        <v>69</v>
      </c>
      <c r="R46" s="84" t="s">
        <v>70</v>
      </c>
      <c r="S46" s="69"/>
      <c r="T46" s="70"/>
    </row>
    <row r="47">
      <c r="A47" s="52" t="str">
        <f>IF(Calculation!E47=Calculation!$A$148,Calculation!B47,"")</f>
        <v/>
      </c>
      <c r="B47" s="53" t="str">
        <f>IF(Calculation!E47=Calculation!$A$148,Calculation!I47,"")</f>
        <v/>
      </c>
      <c r="C47" s="52" t="str">
        <f>IF(Calculation!E47=Calculation!$A$148,Calculation!D47,"")</f>
        <v/>
      </c>
      <c r="D47" s="52" t="str">
        <f>IF(Calculation!E47=Calculation!$A$148,Calculation!C47,"")</f>
        <v/>
      </c>
      <c r="E47" s="52" t="str">
        <f>IF(Calculation!E47=Calculation!$A$148,Calculation!F47,"")</f>
        <v/>
      </c>
      <c r="F47" s="54" t="str">
        <f>IF(Calculation!E47=Calculation!$A$148,Calculation!G47,"")</f>
        <v/>
      </c>
      <c r="G47" s="54" t="str">
        <f>IF(Calculation!E47=Calculation!$A$148,Calculation!H47,"")</f>
        <v/>
      </c>
      <c r="H47" s="55"/>
      <c r="M47" s="85" t="s">
        <v>34</v>
      </c>
      <c r="P47" s="86">
        <f>SUMIFS(Calculation!$F$3:$F$125,Calculation!$C$3:$C$125,"Short Video Design",Calculation!$E$3:$E$125,Calculation!A148)</f>
        <v>0</v>
      </c>
      <c r="Q47" s="121">
        <f>(Calculation!B148)</f>
        <v>35</v>
      </c>
      <c r="R47" s="122">
        <f t="shared" ref="R47:R51" si="1">product(P47,Q47)</f>
        <v>0</v>
      </c>
      <c r="S47" s="69"/>
      <c r="T47" s="70"/>
    </row>
    <row r="48">
      <c r="A48" s="52" t="str">
        <f>IF(Calculation!E48=Calculation!$A$148,Calculation!B48,"")</f>
        <v/>
      </c>
      <c r="B48" s="53" t="str">
        <f>IF(Calculation!E48=Calculation!$A$148,Calculation!I48,"")</f>
        <v/>
      </c>
      <c r="C48" s="52" t="str">
        <f>IF(Calculation!E48=Calculation!$A$148,Calculation!D48,"")</f>
        <v/>
      </c>
      <c r="D48" s="52" t="str">
        <f>IF(Calculation!E48=Calculation!$A$148,Calculation!C48,"")</f>
        <v/>
      </c>
      <c r="E48" s="52" t="str">
        <f>IF(Calculation!E48=Calculation!$A$148,Calculation!F48,"")</f>
        <v/>
      </c>
      <c r="F48" s="54" t="str">
        <f>IF(Calculation!E48=Calculation!$A$148,Calculation!G48,"")</f>
        <v/>
      </c>
      <c r="G48" s="54" t="str">
        <f>IF(Calculation!E48=Calculation!$A$148,Calculation!H48,"")</f>
        <v/>
      </c>
      <c r="H48" s="55"/>
      <c r="M48" s="89" t="s">
        <v>35</v>
      </c>
      <c r="P48" s="86">
        <f>SUMIFS(Calculation!$F$3:$F$125,Calculation!$C$3:$C$125,"Long Video Design",Calculation!$E$3:$E$125,Calculation!A148)</f>
        <v>0</v>
      </c>
      <c r="Q48" s="121">
        <f>(Calculation!C148)</f>
        <v>20</v>
      </c>
      <c r="R48" s="123">
        <f t="shared" si="1"/>
        <v>0</v>
      </c>
      <c r="S48" s="69"/>
      <c r="T48" s="70"/>
    </row>
    <row r="49">
      <c r="A49" s="52" t="str">
        <f>IF(Calculation!E49=Calculation!$A$148,Calculation!B49,"")</f>
        <v/>
      </c>
      <c r="B49" s="53" t="str">
        <f>IF(Calculation!E49=Calculation!$A$148,Calculation!I49,"")</f>
        <v/>
      </c>
      <c r="C49" s="52" t="str">
        <f>IF(Calculation!E49=Calculation!$A$148,Calculation!D49,"")</f>
        <v/>
      </c>
      <c r="D49" s="52" t="str">
        <f>IF(Calculation!E49=Calculation!$A$148,Calculation!C49,"")</f>
        <v/>
      </c>
      <c r="E49" s="52" t="str">
        <f>IF(Calculation!E49=Calculation!$A$148,Calculation!F49,"")</f>
        <v/>
      </c>
      <c r="F49" s="54" t="str">
        <f>IF(Calculation!E49=Calculation!$A$148,Calculation!G49,"")</f>
        <v/>
      </c>
      <c r="G49" s="54" t="str">
        <f>IF(Calculation!E49=Calculation!$A$148,Calculation!H49,"")</f>
        <v/>
      </c>
      <c r="H49" s="55"/>
      <c r="M49" s="91" t="s">
        <v>25</v>
      </c>
      <c r="P49" s="86">
        <f>SUMIFS(Calculation!$F$3:$F$125,Calculation!$C$3:$C$125,"Content for Poster",Calculation!$E$3:$E$125,Calculation!A148)</f>
        <v>1</v>
      </c>
      <c r="Q49" s="121">
        <f>(Calculation!D148)</f>
        <v>44</v>
      </c>
      <c r="R49" s="122">
        <f t="shared" si="1"/>
        <v>44</v>
      </c>
      <c r="S49" s="69"/>
      <c r="T49" s="70"/>
    </row>
    <row r="50">
      <c r="A50" s="52" t="str">
        <f>IF(Calculation!E50=Calculation!$A$148,Calculation!B50,"")</f>
        <v/>
      </c>
      <c r="B50" s="53" t="str">
        <f>IF(Calculation!E50=Calculation!$A$148,Calculation!I50,"")</f>
        <v/>
      </c>
      <c r="C50" s="52" t="str">
        <f>IF(Calculation!E50=Calculation!$A$148,Calculation!D50,"")</f>
        <v/>
      </c>
      <c r="D50" s="52" t="str">
        <f>IF(Calculation!E50=Calculation!$A$148,Calculation!C50,"")</f>
        <v/>
      </c>
      <c r="E50" s="52" t="str">
        <f>IF(Calculation!E50=Calculation!$A$148,Calculation!F50,"")</f>
        <v/>
      </c>
      <c r="F50" s="54" t="str">
        <f>IF(Calculation!E50=Calculation!$A$148,Calculation!G50,"")</f>
        <v/>
      </c>
      <c r="G50" s="54" t="str">
        <f>IF(Calculation!E50=Calculation!$A$148,Calculation!H50,"")</f>
        <v/>
      </c>
      <c r="H50" s="55"/>
      <c r="M50" s="92" t="s">
        <v>36</v>
      </c>
      <c r="P50" s="86">
        <f>SUMIFS(Calculation!$F$3:$F$125,Calculation!$C$3:$C$125,"Content for Video",Calculation!$E$3:$E$125,Calculation!A148)</f>
        <v>0</v>
      </c>
      <c r="Q50" s="121">
        <f>(Calculation!E148)</f>
        <v>44</v>
      </c>
      <c r="R50" s="123">
        <f t="shared" si="1"/>
        <v>0</v>
      </c>
      <c r="S50" s="69"/>
      <c r="T50" s="70"/>
    </row>
    <row r="51">
      <c r="A51" s="52" t="str">
        <f>IF(Calculation!E51=Calculation!$A$148,Calculation!B51,"")</f>
        <v/>
      </c>
      <c r="B51" s="53" t="str">
        <f>IF(Calculation!E51=Calculation!$A$148,Calculation!I51,"")</f>
        <v/>
      </c>
      <c r="C51" s="52" t="str">
        <f>IF(Calculation!E51=Calculation!$A$148,Calculation!D51,"")</f>
        <v/>
      </c>
      <c r="D51" s="52" t="str">
        <f>IF(Calculation!E51=Calculation!$A$148,Calculation!C51,"")</f>
        <v/>
      </c>
      <c r="E51" s="52" t="str">
        <f>IF(Calculation!E51=Calculation!$A$148,Calculation!F51,"")</f>
        <v/>
      </c>
      <c r="F51" s="54" t="str">
        <f>IF(Calculation!E51=Calculation!$A$148,Calculation!G51,"")</f>
        <v/>
      </c>
      <c r="G51" s="54" t="str">
        <f>IF(Calculation!E51=Calculation!$A$148,Calculation!H51,"")</f>
        <v/>
      </c>
      <c r="H51" s="55"/>
      <c r="M51" s="93" t="s">
        <v>16</v>
      </c>
      <c r="N51" s="93"/>
      <c r="O51" s="94"/>
      <c r="P51" s="86">
        <f>SUMIFS(Calculation!$F$3:$F$125,Calculation!$C$3:$C$125,"Poster Design",Calculation!$E$3:$E$125,Calculation!A148)</f>
        <v>0</v>
      </c>
      <c r="Q51" s="124">
        <f>(Calculation!F148)</f>
        <v>44</v>
      </c>
      <c r="R51" s="125">
        <f t="shared" si="1"/>
        <v>0</v>
      </c>
      <c r="S51" s="69"/>
      <c r="T51" s="70"/>
    </row>
    <row r="52">
      <c r="A52" s="52" t="str">
        <f>IF(Calculation!E52=Calculation!$A$148,Calculation!B52,"")</f>
        <v/>
      </c>
      <c r="B52" s="53" t="str">
        <f>IF(Calculation!E52=Calculation!$A$148,Calculation!I52,"")</f>
        <v/>
      </c>
      <c r="C52" s="52" t="str">
        <f>IF(Calculation!E52=Calculation!$A$148,Calculation!D52,"")</f>
        <v/>
      </c>
      <c r="D52" s="52" t="str">
        <f>IF(Calculation!E52=Calculation!$A$148,Calculation!C52,"")</f>
        <v/>
      </c>
      <c r="E52" s="52" t="str">
        <f>IF(Calculation!E52=Calculation!$A$148,Calculation!F52,"")</f>
        <v/>
      </c>
      <c r="F52" s="54" t="str">
        <f>IF(Calculation!E52=Calculation!$A$148,Calculation!G52,"")</f>
        <v/>
      </c>
      <c r="G52" s="54" t="str">
        <f>IF(Calculation!E52=Calculation!$A$148,Calculation!H52,"")</f>
        <v/>
      </c>
      <c r="H52" s="55"/>
      <c r="M52" s="97" t="s">
        <v>71</v>
      </c>
      <c r="N52" s="97"/>
      <c r="O52" s="62"/>
      <c r="Q52" s="98" t="s">
        <v>72</v>
      </c>
      <c r="R52" s="99">
        <f>sum(R47:R51)</f>
        <v>44</v>
      </c>
      <c r="S52" s="62"/>
      <c r="T52" s="64"/>
    </row>
    <row r="53">
      <c r="A53" s="52" t="str">
        <f>IF(Calculation!E53=Calculation!$A$148,Calculation!B53,"")</f>
        <v/>
      </c>
      <c r="B53" s="53" t="str">
        <f>IF(Calculation!E53=Calculation!$A$148,Calculation!I53,"")</f>
        <v/>
      </c>
      <c r="C53" s="52" t="str">
        <f>IF(Calculation!E53=Calculation!$A$148,Calculation!D53,"")</f>
        <v/>
      </c>
      <c r="D53" s="52" t="str">
        <f>IF(Calculation!E53=Calculation!$A$148,Calculation!C53,"")</f>
        <v/>
      </c>
      <c r="E53" s="52" t="str">
        <f>IF(Calculation!E53=Calculation!$A$148,Calculation!F53,"")</f>
        <v/>
      </c>
      <c r="F53" s="54" t="str">
        <f>IF(Calculation!E53=Calculation!$A$148,Calculation!G53,"")</f>
        <v/>
      </c>
      <c r="G53" s="54" t="str">
        <f>IF(Calculation!E53=Calculation!$A$148,Calculation!H53,"")</f>
        <v/>
      </c>
      <c r="H53" s="55"/>
      <c r="M53" s="62"/>
      <c r="N53" s="62"/>
      <c r="O53" s="62"/>
      <c r="Q53" s="98" t="s">
        <v>73</v>
      </c>
      <c r="R53" s="100">
        <v>0.0</v>
      </c>
      <c r="S53" s="62"/>
      <c r="T53" s="64"/>
    </row>
    <row r="54">
      <c r="A54" s="52" t="str">
        <f>IF(Calculation!E54=Calculation!$A$148,Calculation!B54,"")</f>
        <v/>
      </c>
      <c r="B54" s="53" t="str">
        <f>IF(Calculation!E54=Calculation!$A$148,Calculation!I54,"")</f>
        <v/>
      </c>
      <c r="C54" s="52" t="str">
        <f>IF(Calculation!E54=Calculation!$A$148,Calculation!D54,"")</f>
        <v/>
      </c>
      <c r="D54" s="52" t="str">
        <f>IF(Calculation!E54=Calculation!$A$148,Calculation!C54,"")</f>
        <v/>
      </c>
      <c r="E54" s="52" t="str">
        <f>IF(Calculation!E54=Calculation!$A$148,Calculation!F54,"")</f>
        <v/>
      </c>
      <c r="F54" s="54" t="str">
        <f>IF(Calculation!E54=Calculation!$A$148,Calculation!G54,"")</f>
        <v/>
      </c>
      <c r="G54" s="54" t="str">
        <f>IF(Calculation!E54=Calculation!$A$148,Calculation!H54,"")</f>
        <v/>
      </c>
      <c r="H54" s="55"/>
      <c r="M54" s="69"/>
      <c r="N54" s="69"/>
      <c r="O54" s="69"/>
      <c r="P54" s="69"/>
      <c r="Q54" s="101">
        <f>sum(R52,R53)</f>
        <v>44</v>
      </c>
      <c r="S54" s="69"/>
      <c r="T54" s="70"/>
    </row>
    <row r="55">
      <c r="A55" s="52" t="str">
        <f>IF(Calculation!E55=Calculation!$A$148,Calculation!B55,"")</f>
        <v/>
      </c>
      <c r="B55" s="53" t="str">
        <f>IF(Calculation!E55=Calculation!$A$148,Calculation!I55,"")</f>
        <v/>
      </c>
      <c r="C55" s="52" t="str">
        <f>IF(Calculation!E55=Calculation!$A$148,Calculation!D55,"")</f>
        <v/>
      </c>
      <c r="D55" s="52" t="str">
        <f>IF(Calculation!E55=Calculation!$A$148,Calculation!C55,"")</f>
        <v/>
      </c>
      <c r="E55" s="52" t="str">
        <f>IF(Calculation!E55=Calculation!$A$148,Calculation!F55,"")</f>
        <v/>
      </c>
      <c r="F55" s="54" t="str">
        <f>IF(Calculation!E55=Calculation!$A$148,Calculation!G55,"")</f>
        <v/>
      </c>
      <c r="G55" s="54" t="str">
        <f>IF(Calculation!E55=Calculation!$A$148,Calculation!H55,"")</f>
        <v/>
      </c>
      <c r="H55" s="55"/>
      <c r="M55" s="102"/>
      <c r="N55" s="102"/>
      <c r="O55" s="69"/>
      <c r="P55" s="69"/>
      <c r="Q55" s="69"/>
      <c r="R55" s="69"/>
      <c r="S55" s="69"/>
      <c r="T55" s="70"/>
    </row>
    <row r="56">
      <c r="A56" s="52" t="str">
        <f>IF(Calculation!E56=Calculation!$A$148,Calculation!B56,"")</f>
        <v/>
      </c>
      <c r="B56" s="53" t="str">
        <f>IF(Calculation!E56=Calculation!$A$148,Calculation!I56,"")</f>
        <v/>
      </c>
      <c r="C56" s="52" t="str">
        <f>IF(Calculation!E56=Calculation!$A$148,Calculation!D56,"")</f>
        <v/>
      </c>
      <c r="D56" s="52" t="str">
        <f>IF(Calculation!E56=Calculation!$A$148,Calculation!C56,"")</f>
        <v/>
      </c>
      <c r="E56" s="52" t="str">
        <f>IF(Calculation!E56=Calculation!$A$148,Calculation!F56,"")</f>
        <v/>
      </c>
      <c r="F56" s="54" t="str">
        <f>IF(Calculation!E56=Calculation!$A$148,Calculation!G56,"")</f>
        <v/>
      </c>
      <c r="G56" s="54" t="str">
        <f>IF(Calculation!E56=Calculation!$A$148,Calculation!H56,"")</f>
        <v/>
      </c>
      <c r="H56" s="55"/>
      <c r="T56" s="103"/>
    </row>
    <row r="57">
      <c r="A57" s="52" t="str">
        <f>IF(Calculation!E57=Calculation!$A$148,Calculation!B57,"")</f>
        <v/>
      </c>
      <c r="B57" s="53" t="str">
        <f>IF(Calculation!E57=Calculation!$A$148,Calculation!I57,"")</f>
        <v/>
      </c>
      <c r="C57" s="52" t="str">
        <f>IF(Calculation!E57=Calculation!$A$148,Calculation!D57,"")</f>
        <v/>
      </c>
      <c r="D57" s="52" t="str">
        <f>IF(Calculation!E57=Calculation!$A$148,Calculation!C57,"")</f>
        <v/>
      </c>
      <c r="E57" s="52" t="str">
        <f>IF(Calculation!E57=Calculation!$A$148,Calculation!F57,"")</f>
        <v/>
      </c>
      <c r="F57" s="54" t="str">
        <f>IF(Calculation!E57=Calculation!$A$148,Calculation!G57,"")</f>
        <v/>
      </c>
      <c r="G57" s="54" t="str">
        <f>IF(Calculation!E57=Calculation!$A$148,Calculation!H57,"")</f>
        <v/>
      </c>
      <c r="H57" s="55"/>
      <c r="T57" s="103"/>
    </row>
    <row r="58">
      <c r="A58" s="52" t="str">
        <f>IF(Calculation!E58=Calculation!$A$148,Calculation!B58,"")</f>
        <v/>
      </c>
      <c r="B58" s="53" t="str">
        <f>IF(Calculation!E58=Calculation!$A$148,Calculation!I58,"")</f>
        <v/>
      </c>
      <c r="C58" s="52" t="str">
        <f>IF(Calculation!E58=Calculation!$A$148,Calculation!D58,"")</f>
        <v/>
      </c>
      <c r="D58" s="52" t="str">
        <f>IF(Calculation!E58=Calculation!$A$148,Calculation!C58,"")</f>
        <v/>
      </c>
      <c r="E58" s="52" t="str">
        <f>IF(Calculation!E58=Calculation!$A$148,Calculation!F58,"")</f>
        <v/>
      </c>
      <c r="F58" s="54" t="str">
        <f>IF(Calculation!E58=Calculation!$A$148,Calculation!G58,"")</f>
        <v/>
      </c>
      <c r="G58" s="54" t="str">
        <f>IF(Calculation!E58=Calculation!$A$148,Calculation!H58,"")</f>
        <v/>
      </c>
      <c r="H58" s="55"/>
      <c r="T58" s="103"/>
    </row>
    <row r="59">
      <c r="A59" s="52" t="str">
        <f>IF(Calculation!E59=Calculation!$A$148,Calculation!B59,"")</f>
        <v/>
      </c>
      <c r="B59" s="53" t="str">
        <f>IF(Calculation!E59=Calculation!$A$148,Calculation!I59,"")</f>
        <v/>
      </c>
      <c r="C59" s="52" t="str">
        <f>IF(Calculation!E59=Calculation!$A$148,Calculation!D59,"")</f>
        <v/>
      </c>
      <c r="D59" s="52" t="str">
        <f>IF(Calculation!E59=Calculation!$A$148,Calculation!C59,"")</f>
        <v/>
      </c>
      <c r="E59" s="52" t="str">
        <f>IF(Calculation!E59=Calculation!$A$148,Calculation!F59,"")</f>
        <v/>
      </c>
      <c r="F59" s="54" t="str">
        <f>IF(Calculation!E59=Calculation!$A$148,Calculation!G59,"")</f>
        <v/>
      </c>
      <c r="G59" s="54" t="str">
        <f>IF(Calculation!E59=Calculation!$A$148,Calculation!H59,"")</f>
        <v/>
      </c>
      <c r="H59" s="55"/>
      <c r="T59" s="103"/>
    </row>
    <row r="60">
      <c r="A60" s="52" t="str">
        <f>IF(Calculation!E60=Calculation!$A$148,Calculation!B60,"")</f>
        <v/>
      </c>
      <c r="B60" s="53" t="str">
        <f>IF(Calculation!E60=Calculation!$A$148,Calculation!I60,"")</f>
        <v/>
      </c>
      <c r="C60" s="52" t="str">
        <f>IF(Calculation!E60=Calculation!$A$148,Calculation!D60,"")</f>
        <v/>
      </c>
      <c r="D60" s="52" t="str">
        <f>IF(Calculation!E60=Calculation!$A$148,Calculation!C60,"")</f>
        <v/>
      </c>
      <c r="E60" s="52" t="str">
        <f>IF(Calculation!E60=Calculation!$A$148,Calculation!F60,"")</f>
        <v/>
      </c>
      <c r="F60" s="54" t="str">
        <f>IF(Calculation!E60=Calculation!$A$148,Calculation!G60,"")</f>
        <v/>
      </c>
      <c r="G60" s="54" t="str">
        <f>IF(Calculation!E60=Calculation!$A$148,Calculation!H60,"")</f>
        <v/>
      </c>
      <c r="H60" s="55"/>
      <c r="T60" s="103"/>
    </row>
    <row r="61">
      <c r="A61" s="52" t="str">
        <f>IF(Calculation!E61=Calculation!$A$148,Calculation!B61,"")</f>
        <v/>
      </c>
      <c r="B61" s="53" t="str">
        <f>IF(Calculation!E61=Calculation!$A$148,Calculation!I61,"")</f>
        <v/>
      </c>
      <c r="C61" s="52" t="str">
        <f>IF(Calculation!E61=Calculation!$A$148,Calculation!D61,"")</f>
        <v/>
      </c>
      <c r="D61" s="52" t="str">
        <f>IF(Calculation!E61=Calculation!$A$148,Calculation!C61,"")</f>
        <v/>
      </c>
      <c r="E61" s="52" t="str">
        <f>IF(Calculation!E61=Calculation!$A$148,Calculation!F61,"")</f>
        <v/>
      </c>
      <c r="F61" s="54" t="str">
        <f>IF(Calculation!E61=Calculation!$A$148,Calculation!G61,"")</f>
        <v/>
      </c>
      <c r="G61" s="54" t="str">
        <f>IF(Calculation!E61=Calculation!$A$148,Calculation!H61,"")</f>
        <v/>
      </c>
      <c r="H61" s="55"/>
      <c r="T61" s="103"/>
    </row>
    <row r="62">
      <c r="A62" s="52" t="str">
        <f>IF(Calculation!E62=Calculation!$A$148,Calculation!B62,"")</f>
        <v/>
      </c>
      <c r="B62" s="53" t="str">
        <f>IF(Calculation!E62=Calculation!$A$148,Calculation!I62,"")</f>
        <v/>
      </c>
      <c r="C62" s="52" t="str">
        <f>IF(Calculation!E62=Calculation!$A$148,Calculation!D62,"")</f>
        <v/>
      </c>
      <c r="D62" s="52" t="str">
        <f>IF(Calculation!E62=Calculation!$A$148,Calculation!C62,"")</f>
        <v/>
      </c>
      <c r="E62" s="52" t="str">
        <f>IF(Calculation!E62=Calculation!$A$148,Calculation!F62,"")</f>
        <v/>
      </c>
      <c r="F62" s="54" t="str">
        <f>IF(Calculation!E62=Calculation!$A$148,Calculation!G62,"")</f>
        <v/>
      </c>
      <c r="G62" s="54" t="str">
        <f>IF(Calculation!E62=Calculation!$A$148,Calculation!H62,"")</f>
        <v/>
      </c>
      <c r="H62" s="55"/>
      <c r="T62" s="103"/>
    </row>
    <row r="63">
      <c r="A63" s="52" t="str">
        <f>IF(Calculation!E63=Calculation!$A$148,Calculation!B63,"")</f>
        <v/>
      </c>
      <c r="B63" s="53" t="str">
        <f>IF(Calculation!E63=Calculation!$A$148,Calculation!I63,"")</f>
        <v/>
      </c>
      <c r="C63" s="52" t="str">
        <f>IF(Calculation!E63=Calculation!$A$148,Calculation!D63,"")</f>
        <v/>
      </c>
      <c r="D63" s="52" t="str">
        <f>IF(Calculation!E63=Calculation!$A$148,Calculation!C63,"")</f>
        <v/>
      </c>
      <c r="E63" s="52" t="str">
        <f>IF(Calculation!E63=Calculation!$A$148,Calculation!F63,"")</f>
        <v/>
      </c>
      <c r="F63" s="54" t="str">
        <f>IF(Calculation!E63=Calculation!$A$148,Calculation!G63,"")</f>
        <v/>
      </c>
      <c r="G63" s="54" t="str">
        <f>IF(Calculation!E63=Calculation!$A$148,Calculation!H63,"")</f>
        <v/>
      </c>
      <c r="H63" s="55"/>
      <c r="T63" s="103"/>
    </row>
    <row r="64">
      <c r="A64" s="52" t="str">
        <f>IF(Calculation!E64=Calculation!$A$148,Calculation!B64,"")</f>
        <v/>
      </c>
      <c r="B64" s="53" t="str">
        <f>IF(Calculation!E64=Calculation!$A$148,Calculation!I64,"")</f>
        <v/>
      </c>
      <c r="C64" s="52" t="str">
        <f>IF(Calculation!E64=Calculation!$A$148,Calculation!D64,"")</f>
        <v/>
      </c>
      <c r="D64" s="52" t="str">
        <f>IF(Calculation!E64=Calculation!$A$148,Calculation!C64,"")</f>
        <v/>
      </c>
      <c r="E64" s="52" t="str">
        <f>IF(Calculation!E64=Calculation!$A$148,Calculation!F64,"")</f>
        <v/>
      </c>
      <c r="F64" s="54" t="str">
        <f>IF(Calculation!E64=Calculation!$A$148,Calculation!G64,"")</f>
        <v/>
      </c>
      <c r="G64" s="54" t="str">
        <f>IF(Calculation!E64=Calculation!$A$148,Calculation!H64,"")</f>
        <v/>
      </c>
      <c r="H64" s="55"/>
      <c r="T64" s="103"/>
    </row>
    <row r="65">
      <c r="A65" s="52" t="str">
        <f>IF(Calculation!E65=Calculation!$A$148,Calculation!B65,"")</f>
        <v/>
      </c>
      <c r="B65" s="53" t="str">
        <f>IF(Calculation!E65=Calculation!$A$148,Calculation!I65,"")</f>
        <v/>
      </c>
      <c r="C65" s="52" t="str">
        <f>IF(Calculation!E65=Calculation!$A$148,Calculation!D65,"")</f>
        <v/>
      </c>
      <c r="D65" s="52" t="str">
        <f>IF(Calculation!E65=Calculation!$A$148,Calculation!C65,"")</f>
        <v/>
      </c>
      <c r="E65" s="52" t="str">
        <f>IF(Calculation!E65=Calculation!$A$148,Calculation!F65,"")</f>
        <v/>
      </c>
      <c r="F65" s="54" t="str">
        <f>IF(Calculation!E65=Calculation!$A$148,Calculation!G65,"")</f>
        <v/>
      </c>
      <c r="G65" s="54" t="str">
        <f>IF(Calculation!E65=Calculation!$A$148,Calculation!H65,"")</f>
        <v/>
      </c>
      <c r="H65" s="55"/>
      <c r="T65" s="103"/>
    </row>
    <row r="66">
      <c r="A66" s="52" t="str">
        <f>IF(Calculation!E66=Calculation!$A$148,Calculation!B66,"")</f>
        <v/>
      </c>
      <c r="B66" s="53" t="str">
        <f>IF(Calculation!E66=Calculation!$A$148,Calculation!I66,"")</f>
        <v/>
      </c>
      <c r="C66" s="52" t="str">
        <f>IF(Calculation!E66=Calculation!$A$148,Calculation!D66,"")</f>
        <v/>
      </c>
      <c r="D66" s="52" t="str">
        <f>IF(Calculation!E66=Calculation!$A$148,Calculation!C66,"")</f>
        <v/>
      </c>
      <c r="E66" s="52" t="str">
        <f>IF(Calculation!E66=Calculation!$A$148,Calculation!F66,"")</f>
        <v/>
      </c>
      <c r="F66" s="54" t="str">
        <f>IF(Calculation!E66=Calculation!$A$148,Calculation!G66,"")</f>
        <v/>
      </c>
      <c r="G66" s="54" t="str">
        <f>IF(Calculation!E66=Calculation!$A$148,Calculation!H66,"")</f>
        <v/>
      </c>
      <c r="H66" s="55"/>
      <c r="T66" s="103"/>
    </row>
    <row r="67">
      <c r="A67" s="52" t="str">
        <f>IF(Calculation!E67=Calculation!$A$148,Calculation!B67,"")</f>
        <v/>
      </c>
      <c r="B67" s="53" t="str">
        <f>IF(Calculation!E67=Calculation!$A$148,Calculation!I67,"")</f>
        <v/>
      </c>
      <c r="C67" s="52" t="str">
        <f>IF(Calculation!E67=Calculation!$A$148,Calculation!D67,"")</f>
        <v/>
      </c>
      <c r="D67" s="52" t="str">
        <f>IF(Calculation!E67=Calculation!$A$148,Calculation!C67,"")</f>
        <v/>
      </c>
      <c r="E67" s="52" t="str">
        <f>IF(Calculation!E67=Calculation!$A$148,Calculation!F67,"")</f>
        <v/>
      </c>
      <c r="F67" s="54" t="str">
        <f>IF(Calculation!E67=Calculation!$A$148,Calculation!G67,"")</f>
        <v/>
      </c>
      <c r="G67" s="54" t="str">
        <f>IF(Calculation!E67=Calculation!$A$148,Calculation!H67,"")</f>
        <v/>
      </c>
      <c r="H67" s="55"/>
      <c r="T67" s="103"/>
    </row>
    <row r="68">
      <c r="A68" s="52" t="str">
        <f>IF(Calculation!E68=Calculation!$A$148,Calculation!B68,"")</f>
        <v/>
      </c>
      <c r="B68" s="53" t="str">
        <f>IF(Calculation!E68=Calculation!$A$148,Calculation!I68,"")</f>
        <v/>
      </c>
      <c r="C68" s="52" t="str">
        <f>IF(Calculation!E68=Calculation!$A$148,Calculation!D68,"")</f>
        <v/>
      </c>
      <c r="D68" s="52" t="str">
        <f>IF(Calculation!E68=Calculation!$A$148,Calculation!C68,"")</f>
        <v/>
      </c>
      <c r="E68" s="52" t="str">
        <f>IF(Calculation!E68=Calculation!$A$148,Calculation!F68,"")</f>
        <v/>
      </c>
      <c r="F68" s="54" t="str">
        <f>IF(Calculation!E68=Calculation!$A$148,Calculation!G68,"")</f>
        <v/>
      </c>
      <c r="G68" s="54" t="str">
        <f>IF(Calculation!E68=Calculation!$A$148,Calculation!H68,"")</f>
        <v/>
      </c>
      <c r="H68" s="55"/>
      <c r="M68" s="104"/>
      <c r="N68" s="104"/>
      <c r="O68" s="104"/>
      <c r="P68" s="104"/>
      <c r="Q68" s="104"/>
      <c r="R68" s="104"/>
      <c r="S68" s="104"/>
      <c r="T68" s="105"/>
    </row>
    <row r="69">
      <c r="A69" s="52" t="str">
        <f>IF(Calculation!E69=Calculation!$A$148,Calculation!B69,"")</f>
        <v/>
      </c>
      <c r="B69" s="53" t="str">
        <f>IF(Calculation!E69=Calculation!$A$148,Calculation!I69,"")</f>
        <v/>
      </c>
      <c r="C69" s="52" t="str">
        <f>IF(Calculation!E69=Calculation!$A$148,Calculation!D69,"")</f>
        <v/>
      </c>
      <c r="D69" s="52" t="str">
        <f>IF(Calculation!E69=Calculation!$A$148,Calculation!C69,"")</f>
        <v/>
      </c>
      <c r="E69" s="52" t="str">
        <f>IF(Calculation!E69=Calculation!$A$148,Calculation!F69,"")</f>
        <v/>
      </c>
      <c r="F69" s="54" t="str">
        <f>IF(Calculation!E69=Calculation!$A$148,Calculation!G69,"")</f>
        <v/>
      </c>
      <c r="G69" s="54" t="str">
        <f>IF(Calculation!E69=Calculation!$A$148,Calculation!H69,"")</f>
        <v/>
      </c>
      <c r="H69" s="55"/>
    </row>
    <row r="70">
      <c r="A70" s="52" t="str">
        <f>IF(Calculation!E70=Calculation!$A$148,Calculation!B70,"")</f>
        <v/>
      </c>
      <c r="B70" s="53" t="str">
        <f>IF(Calculation!E70=Calculation!$A$148,Calculation!I70,"")</f>
        <v/>
      </c>
      <c r="C70" s="52" t="str">
        <f>IF(Calculation!E70=Calculation!$A$148,Calculation!D70,"")</f>
        <v/>
      </c>
      <c r="D70" s="52" t="str">
        <f>IF(Calculation!E70=Calculation!$A$148,Calculation!C70,"")</f>
        <v/>
      </c>
      <c r="E70" s="52" t="str">
        <f>IF(Calculation!E70=Calculation!$A$148,Calculation!F70,"")</f>
        <v/>
      </c>
      <c r="F70" s="54" t="str">
        <f>IF(Calculation!E70=Calculation!$A$148,Calculation!G70,"")</f>
        <v/>
      </c>
      <c r="G70" s="54" t="str">
        <f>IF(Calculation!E70=Calculation!$A$148,Calculation!H70,"")</f>
        <v/>
      </c>
      <c r="H70" s="55"/>
    </row>
    <row r="71">
      <c r="A71" s="52" t="str">
        <f>IF(Calculation!E71=Calculation!$A$148,Calculation!B71,"")</f>
        <v/>
      </c>
      <c r="B71" s="53" t="str">
        <f>IF(Calculation!E71=Calculation!$A$148,Calculation!I71,"")</f>
        <v/>
      </c>
      <c r="C71" s="52" t="str">
        <f>IF(Calculation!E71=Calculation!$A$148,Calculation!D71,"")</f>
        <v/>
      </c>
      <c r="D71" s="52" t="str">
        <f>IF(Calculation!E71=Calculation!$A$148,Calculation!C71,"")</f>
        <v/>
      </c>
      <c r="E71" s="52" t="str">
        <f>IF(Calculation!E71=Calculation!$A$148,Calculation!F71,"")</f>
        <v/>
      </c>
      <c r="F71" s="54" t="str">
        <f>IF(Calculation!E71=Calculation!$A$148,Calculation!G71,"")</f>
        <v/>
      </c>
      <c r="G71" s="54" t="str">
        <f>IF(Calculation!E71=Calculation!$A$148,Calculation!H71,"")</f>
        <v/>
      </c>
      <c r="H71" s="55"/>
    </row>
    <row r="72">
      <c r="A72" s="52" t="str">
        <f>IF(Calculation!E72=Calculation!$A$148,Calculation!B72,"")</f>
        <v/>
      </c>
      <c r="B72" s="53" t="str">
        <f>IF(Calculation!E72=Calculation!$A$148,Calculation!I72,"")</f>
        <v/>
      </c>
      <c r="C72" s="52" t="str">
        <f>IF(Calculation!E72=Calculation!$A$148,Calculation!D72,"")</f>
        <v/>
      </c>
      <c r="D72" s="52" t="str">
        <f>IF(Calculation!E72=Calculation!$A$148,Calculation!C72,"")</f>
        <v/>
      </c>
      <c r="E72" s="52" t="str">
        <f>IF(Calculation!E72=Calculation!$A$148,Calculation!F72,"")</f>
        <v/>
      </c>
      <c r="F72" s="54" t="str">
        <f>IF(Calculation!E72=Calculation!$A$148,Calculation!G72,"")</f>
        <v/>
      </c>
      <c r="G72" s="54" t="str">
        <f>IF(Calculation!E72=Calculation!$A$148,Calculation!H72,"")</f>
        <v/>
      </c>
      <c r="H72" s="55"/>
    </row>
    <row r="73">
      <c r="A73" s="52" t="str">
        <f>IF(Calculation!E73=Calculation!$A$148,Calculation!B73,"")</f>
        <v/>
      </c>
      <c r="B73" s="53" t="str">
        <f>IF(Calculation!E73=Calculation!$A$148,Calculation!I73,"")</f>
        <v/>
      </c>
      <c r="C73" s="52" t="str">
        <f>IF(Calculation!E73=Calculation!$A$148,Calculation!D73,"")</f>
        <v/>
      </c>
      <c r="D73" s="52" t="str">
        <f>IF(Calculation!E73=Calculation!$A$148,Calculation!C73,"")</f>
        <v/>
      </c>
      <c r="E73" s="52" t="str">
        <f>IF(Calculation!E73=Calculation!$A$148,Calculation!F73,"")</f>
        <v/>
      </c>
      <c r="F73" s="54" t="str">
        <f>IF(Calculation!E73=Calculation!$A$148,Calculation!G73,"")</f>
        <v/>
      </c>
      <c r="G73" s="54" t="str">
        <f>IF(Calculation!E73=Calculation!$A$148,Calculation!H73,"")</f>
        <v/>
      </c>
      <c r="H73" s="55"/>
    </row>
    <row r="74">
      <c r="A74" s="52" t="str">
        <f>IF(Calculation!E74=Calculation!$A$148,Calculation!B74,"")</f>
        <v/>
      </c>
      <c r="B74" s="53" t="str">
        <f>IF(Calculation!E74=Calculation!$A$148,Calculation!I74,"")</f>
        <v/>
      </c>
      <c r="C74" s="52" t="str">
        <f>IF(Calculation!E74=Calculation!$A$148,Calculation!D74,"")</f>
        <v/>
      </c>
      <c r="D74" s="52" t="str">
        <f>IF(Calculation!E74=Calculation!$A$148,Calculation!C74,"")</f>
        <v/>
      </c>
      <c r="E74" s="52" t="str">
        <f>IF(Calculation!E74=Calculation!$A$148,Calculation!F74,"")</f>
        <v/>
      </c>
      <c r="F74" s="54" t="str">
        <f>IF(Calculation!E74=Calculation!$A$148,Calculation!G74,"")</f>
        <v/>
      </c>
      <c r="G74" s="54" t="str">
        <f>IF(Calculation!E74=Calculation!$A$148,Calculation!H74,"")</f>
        <v/>
      </c>
      <c r="H74" s="55"/>
    </row>
    <row r="75">
      <c r="A75" s="52" t="str">
        <f>IF(Calculation!E75=Calculation!$A$148,Calculation!B75,"")</f>
        <v/>
      </c>
      <c r="B75" s="53" t="str">
        <f>IF(Calculation!E75=Calculation!$A$148,Calculation!I75,"")</f>
        <v/>
      </c>
      <c r="C75" s="52" t="str">
        <f>IF(Calculation!E75=Calculation!$A$148,Calculation!D75,"")</f>
        <v/>
      </c>
      <c r="D75" s="52" t="str">
        <f>IF(Calculation!E75=Calculation!$A$148,Calculation!C75,"")</f>
        <v/>
      </c>
      <c r="E75" s="52" t="str">
        <f>IF(Calculation!E75=Calculation!$A$148,Calculation!F75,"")</f>
        <v/>
      </c>
      <c r="F75" s="54" t="str">
        <f>IF(Calculation!E75=Calculation!$A$148,Calculation!G75,"")</f>
        <v/>
      </c>
      <c r="G75" s="54" t="str">
        <f>IF(Calculation!E75=Calculation!$A$148,Calculation!H75,"")</f>
        <v/>
      </c>
      <c r="H75" s="55"/>
    </row>
    <row r="76">
      <c r="A76" s="52" t="str">
        <f>IF(Calculation!E76=Calculation!$A$148,Calculation!B76,"")</f>
        <v/>
      </c>
      <c r="B76" s="53" t="str">
        <f>IF(Calculation!E76=Calculation!$A$148,Calculation!I76,"")</f>
        <v/>
      </c>
      <c r="C76" s="52" t="str">
        <f>IF(Calculation!E76=Calculation!$A$148,Calculation!D76,"")</f>
        <v/>
      </c>
      <c r="D76" s="52" t="str">
        <f>IF(Calculation!E76=Calculation!$A$148,Calculation!C76,"")</f>
        <v/>
      </c>
      <c r="E76" s="52" t="str">
        <f>IF(Calculation!E76=Calculation!$A$148,Calculation!F76,"")</f>
        <v/>
      </c>
      <c r="F76" s="54" t="str">
        <f>IF(Calculation!E76=Calculation!$A$148,Calculation!G76,"")</f>
        <v/>
      </c>
      <c r="G76" s="54" t="str">
        <f>IF(Calculation!E76=Calculation!$A$148,Calculation!H76,"")</f>
        <v/>
      </c>
      <c r="H76" s="55"/>
    </row>
    <row r="77" ht="22.5" customHeight="1">
      <c r="A77" s="52" t="str">
        <f>IF(Calculation!E77=Calculation!$A$148,Calculation!B77,"")</f>
        <v/>
      </c>
      <c r="B77" s="53" t="str">
        <f>IF(Calculation!E77=Calculation!$A$148,Calculation!I77,"")</f>
        <v/>
      </c>
      <c r="C77" s="52" t="str">
        <f>IF(Calculation!E77=Calculation!$A$148,Calculation!D77,"")</f>
        <v/>
      </c>
      <c r="D77" s="52" t="str">
        <f>IF(Calculation!E77=Calculation!$A$148,Calculation!C77,"")</f>
        <v/>
      </c>
      <c r="E77" s="52" t="str">
        <f>IF(Calculation!E77=Calculation!$A$148,Calculation!F77,"")</f>
        <v/>
      </c>
      <c r="F77" s="54" t="str">
        <f>IF(Calculation!E77=Calculation!$A$148,Calculation!G77,"")</f>
        <v/>
      </c>
      <c r="G77" s="54" t="str">
        <f>IF(Calculation!E77=Calculation!$A$148,Calculation!H77,"")</f>
        <v/>
      </c>
      <c r="H77" s="55"/>
    </row>
    <row r="78" ht="21.75" customHeight="1">
      <c r="A78" s="52" t="str">
        <f>IF(Calculation!E78=Calculation!$A$148,Calculation!B78,"")</f>
        <v/>
      </c>
      <c r="B78" s="53" t="str">
        <f>IF(Calculation!E78=Calculation!$A$148,Calculation!I78,"")</f>
        <v/>
      </c>
      <c r="C78" s="52" t="str">
        <f>IF(Calculation!E78=Calculation!$A$148,Calculation!D78,"")</f>
        <v/>
      </c>
      <c r="D78" s="52" t="str">
        <f>IF(Calculation!E78=Calculation!$A$148,Calculation!C78,"")</f>
        <v/>
      </c>
      <c r="E78" s="52" t="str">
        <f>IF(Calculation!E78=Calculation!$A$148,Calculation!F78,"")</f>
        <v/>
      </c>
      <c r="F78" s="54" t="str">
        <f>IF(Calculation!E78=Calculation!$A$148,Calculation!G78,"")</f>
        <v/>
      </c>
      <c r="G78" s="54" t="str">
        <f>IF(Calculation!E78=Calculation!$A$148,Calculation!H78,"")</f>
        <v/>
      </c>
      <c r="H78" s="55"/>
    </row>
    <row r="79" ht="24.0" customHeight="1">
      <c r="A79" s="52" t="str">
        <f>IF(Calculation!E79=Calculation!$A$148,Calculation!B79,"")</f>
        <v/>
      </c>
      <c r="B79" s="53" t="str">
        <f>IF(Calculation!E79=Calculation!$A$148,Calculation!I79,"")</f>
        <v/>
      </c>
      <c r="C79" s="52" t="str">
        <f>IF(Calculation!E79=Calculation!$A$148,Calculation!D79,"")</f>
        <v/>
      </c>
      <c r="D79" s="52" t="str">
        <f>IF(Calculation!E79=Calculation!$A$148,Calculation!C79,"")</f>
        <v/>
      </c>
      <c r="E79" s="52" t="str">
        <f>IF(Calculation!E79=Calculation!$A$148,Calculation!F79,"")</f>
        <v/>
      </c>
      <c r="F79" s="54" t="str">
        <f>IF(Calculation!E79=Calculation!$A$148,Calculation!G79,"")</f>
        <v/>
      </c>
      <c r="G79" s="54" t="str">
        <f>IF(Calculation!E79=Calculation!$A$148,Calculation!H79,"")</f>
        <v/>
      </c>
      <c r="H79" s="55"/>
    </row>
    <row r="80" ht="21.75" customHeight="1">
      <c r="A80" s="52" t="str">
        <f>IF(Calculation!E80=Calculation!$A$148,Calculation!B80,"")</f>
        <v/>
      </c>
      <c r="B80" s="53" t="str">
        <f>IF(Calculation!E80=Calculation!$A$148,Calculation!I80,"")</f>
        <v/>
      </c>
      <c r="C80" s="52" t="str">
        <f>IF(Calculation!E80=Calculation!$A$148,Calculation!D80,"")</f>
        <v/>
      </c>
      <c r="D80" s="52" t="str">
        <f>IF(Calculation!E80=Calculation!$A$148,Calculation!C80,"")</f>
        <v/>
      </c>
      <c r="E80" s="52" t="str">
        <f>IF(Calculation!E80=Calculation!$A$148,Calculation!F80,"")</f>
        <v/>
      </c>
      <c r="F80" s="54" t="str">
        <f>IF(Calculation!E80=Calculation!$A$148,Calculation!G80,"")</f>
        <v/>
      </c>
      <c r="G80" s="54" t="str">
        <f>IF(Calculation!E80=Calculation!$A$148,Calculation!H80,"")</f>
        <v/>
      </c>
      <c r="H80" s="55"/>
    </row>
    <row r="81" ht="20.25" customHeight="1">
      <c r="A81" s="52" t="str">
        <f>IF(Calculation!E81=Calculation!$A$148,Calculation!B81,"")</f>
        <v/>
      </c>
      <c r="B81" s="53" t="str">
        <f>IF(Calculation!E81=Calculation!$A$148,Calculation!I81,"")</f>
        <v/>
      </c>
      <c r="C81" s="52" t="str">
        <f>IF(Calculation!E81=Calculation!$A$148,Calculation!D81,"")</f>
        <v/>
      </c>
      <c r="D81" s="52" t="str">
        <f>IF(Calculation!E81=Calculation!$A$148,Calculation!C81,"")</f>
        <v/>
      </c>
      <c r="E81" s="52" t="str">
        <f>IF(Calculation!E81=Calculation!$A$148,Calculation!F81,"")</f>
        <v/>
      </c>
      <c r="F81" s="54" t="str">
        <f>IF(Calculation!E81=Calculation!$A$148,Calculation!G81,"")</f>
        <v/>
      </c>
      <c r="G81" s="54" t="str">
        <f>IF(Calculation!E81=Calculation!$A$148,Calculation!H81,"")</f>
        <v/>
      </c>
      <c r="H81" s="55"/>
    </row>
    <row r="82">
      <c r="A82" s="52" t="str">
        <f>IF(Calculation!E82=Calculation!$A$148,Calculation!B82,"")</f>
        <v/>
      </c>
      <c r="B82" s="53" t="str">
        <f>IF(Calculation!E82=Calculation!$A$148,Calculation!I82,"")</f>
        <v/>
      </c>
      <c r="C82" s="52" t="str">
        <f>IF(Calculation!E82=Calculation!$A$148,Calculation!D82,"")</f>
        <v/>
      </c>
      <c r="D82" s="52" t="str">
        <f>IF(Calculation!E82=Calculation!$A$148,Calculation!C82,"")</f>
        <v/>
      </c>
      <c r="E82" s="52" t="str">
        <f>IF(Calculation!E82=Calculation!$A$148,Calculation!F82,"")</f>
        <v/>
      </c>
      <c r="F82" s="54" t="str">
        <f>IF(Calculation!E82=Calculation!$A$148,Calculation!G82,"")</f>
        <v/>
      </c>
      <c r="G82" s="54" t="str">
        <f>IF(Calculation!E82=Calculation!$A$148,Calculation!H82,"")</f>
        <v/>
      </c>
      <c r="H82" s="55"/>
    </row>
    <row r="83">
      <c r="A83" s="52" t="str">
        <f>IF(Calculation!E83=Calculation!$A$148,Calculation!B83,"")</f>
        <v/>
      </c>
      <c r="B83" s="53" t="str">
        <f>IF(Calculation!E83=Calculation!$A$148,Calculation!I83,"")</f>
        <v/>
      </c>
      <c r="C83" s="52" t="str">
        <f>IF(Calculation!E83=Calculation!$A$148,Calculation!D83,"")</f>
        <v/>
      </c>
      <c r="D83" s="52" t="str">
        <f>IF(Calculation!E83=Calculation!$A$148,Calculation!C83,"")</f>
        <v/>
      </c>
      <c r="E83" s="52" t="str">
        <f>IF(Calculation!E83=Calculation!$A$148,Calculation!F83,"")</f>
        <v/>
      </c>
      <c r="F83" s="54" t="str">
        <f>IF(Calculation!E83=Calculation!$A$148,Calculation!G83,"")</f>
        <v/>
      </c>
      <c r="G83" s="54" t="str">
        <f>IF(Calculation!E83=Calculation!$A$148,Calculation!H83,"")</f>
        <v/>
      </c>
      <c r="H83" s="55"/>
    </row>
    <row r="84">
      <c r="A84" s="52" t="str">
        <f>IF(Calculation!E84=Calculation!$A$148,Calculation!B84,"")</f>
        <v/>
      </c>
      <c r="B84" s="53" t="str">
        <f>IF(Calculation!E84=Calculation!$A$148,Calculation!I84,"")</f>
        <v/>
      </c>
      <c r="C84" s="52" t="str">
        <f>IF(Calculation!E84=Calculation!$A$148,Calculation!D84,"")</f>
        <v/>
      </c>
      <c r="D84" s="52" t="str">
        <f>IF(Calculation!E84=Calculation!$A$148,Calculation!C84,"")</f>
        <v/>
      </c>
      <c r="E84" s="52" t="str">
        <f>IF(Calculation!E84=Calculation!$A$148,Calculation!F84,"")</f>
        <v/>
      </c>
      <c r="F84" s="54" t="str">
        <f>IF(Calculation!E84=Calculation!$A$148,Calculation!G84,"")</f>
        <v/>
      </c>
      <c r="G84" s="54" t="str">
        <f>IF(Calculation!E84=Calculation!$A$148,Calculation!H84,"")</f>
        <v/>
      </c>
      <c r="H84" s="55"/>
    </row>
    <row r="85">
      <c r="A85" s="52" t="str">
        <f>IF(Calculation!E85=Calculation!$A$148,Calculation!B85,"")</f>
        <v/>
      </c>
      <c r="B85" s="53" t="str">
        <f>IF(Calculation!E85=Calculation!$A$148,Calculation!I85,"")</f>
        <v/>
      </c>
      <c r="C85" s="52" t="str">
        <f>IF(Calculation!E85=Calculation!$A$148,Calculation!D85,"")</f>
        <v/>
      </c>
      <c r="D85" s="52" t="str">
        <f>IF(Calculation!E85=Calculation!$A$148,Calculation!C85,"")</f>
        <v/>
      </c>
      <c r="E85" s="52" t="str">
        <f>IF(Calculation!E85=Calculation!$A$148,Calculation!F85,"")</f>
        <v/>
      </c>
      <c r="F85" s="54" t="str">
        <f>IF(Calculation!E85=Calculation!$A$148,Calculation!G85,"")</f>
        <v/>
      </c>
      <c r="G85" s="54" t="str">
        <f>IF(Calculation!E85=Calculation!$A$148,Calculation!H85,"")</f>
        <v/>
      </c>
      <c r="H85" s="55"/>
    </row>
    <row r="86">
      <c r="A86" s="52" t="str">
        <f>IF(Calculation!E86=Calculation!$A$148,Calculation!B86,"")</f>
        <v/>
      </c>
      <c r="B86" s="53" t="str">
        <f>IF(Calculation!E86=Calculation!$A$148,Calculation!I86,"")</f>
        <v/>
      </c>
      <c r="C86" s="52" t="str">
        <f>IF(Calculation!E86=Calculation!$A$148,Calculation!D86,"")</f>
        <v/>
      </c>
      <c r="D86" s="52" t="str">
        <f>IF(Calculation!E86=Calculation!$A$148,Calculation!C86,"")</f>
        <v/>
      </c>
      <c r="E86" s="52" t="str">
        <f>IF(Calculation!E86=Calculation!$A$148,Calculation!F86,"")</f>
        <v/>
      </c>
      <c r="F86" s="54" t="str">
        <f>IF(Calculation!E86=Calculation!$A$148,Calculation!G86,"")</f>
        <v/>
      </c>
      <c r="G86" s="54" t="str">
        <f>IF(Calculation!E86=Calculation!$A$148,Calculation!H86,"")</f>
        <v/>
      </c>
      <c r="H86" s="55"/>
    </row>
    <row r="87">
      <c r="A87" s="52" t="str">
        <f>IF(Calculation!E87=Calculation!$A$148,Calculation!B87,"")</f>
        <v/>
      </c>
      <c r="B87" s="53" t="str">
        <f>IF(Calculation!E87=Calculation!$A$148,Calculation!I87,"")</f>
        <v/>
      </c>
      <c r="C87" s="52" t="str">
        <f>IF(Calculation!E87=Calculation!$A$148,Calculation!D87,"")</f>
        <v/>
      </c>
      <c r="D87" s="52" t="str">
        <f>IF(Calculation!E87=Calculation!$A$148,Calculation!C87,"")</f>
        <v/>
      </c>
      <c r="E87" s="52" t="str">
        <f>IF(Calculation!E87=Calculation!$A$148,Calculation!F87,"")</f>
        <v/>
      </c>
      <c r="F87" s="54" t="str">
        <f>IF(Calculation!E87=Calculation!$A$148,Calculation!G87,"")</f>
        <v/>
      </c>
      <c r="G87" s="54" t="str">
        <f>IF(Calculation!E87=Calculation!$A$148,Calculation!H87,"")</f>
        <v/>
      </c>
      <c r="H87" s="55"/>
    </row>
    <row r="88">
      <c r="A88" s="52" t="str">
        <f>IF(Calculation!E88=Calculation!$A$148,Calculation!B88,"")</f>
        <v/>
      </c>
      <c r="B88" s="53" t="str">
        <f>IF(Calculation!E88=Calculation!$A$148,Calculation!I88,"")</f>
        <v/>
      </c>
      <c r="C88" s="52" t="str">
        <f>IF(Calculation!E88=Calculation!$A$148,Calculation!D88,"")</f>
        <v/>
      </c>
      <c r="D88" s="52" t="str">
        <f>IF(Calculation!E88=Calculation!$A$148,Calculation!C88,"")</f>
        <v/>
      </c>
      <c r="E88" s="52" t="str">
        <f>IF(Calculation!E88=Calculation!$A$148,Calculation!F88,"")</f>
        <v/>
      </c>
      <c r="F88" s="54" t="str">
        <f>IF(Calculation!E88=Calculation!$A$148,Calculation!G88,"")</f>
        <v/>
      </c>
      <c r="G88" s="54" t="str">
        <f>IF(Calculation!E88=Calculation!$A$148,Calculation!H88,"")</f>
        <v/>
      </c>
      <c r="H88" s="55"/>
    </row>
    <row r="89">
      <c r="A89" s="52" t="str">
        <f>IF(Calculation!E89=Calculation!$A$148,Calculation!B89,"")</f>
        <v/>
      </c>
      <c r="B89" s="53" t="str">
        <f>IF(Calculation!E89=Calculation!$A$148,Calculation!I89,"")</f>
        <v/>
      </c>
      <c r="C89" s="52" t="str">
        <f>IF(Calculation!E89=Calculation!$A$148,Calculation!D89,"")</f>
        <v/>
      </c>
      <c r="D89" s="52" t="str">
        <f>IF(Calculation!E89=Calculation!$A$148,Calculation!C89,"")</f>
        <v/>
      </c>
      <c r="E89" s="52" t="str">
        <f>IF(Calculation!E89=Calculation!$A$148,Calculation!F89,"")</f>
        <v/>
      </c>
      <c r="F89" s="54" t="str">
        <f>IF(Calculation!E89=Calculation!$A$148,Calculation!G89,"")</f>
        <v/>
      </c>
      <c r="G89" s="54" t="str">
        <f>IF(Calculation!E89=Calculation!$A$148,Calculation!H89,"")</f>
        <v/>
      </c>
      <c r="H89" s="55"/>
    </row>
    <row r="90">
      <c r="A90" s="52" t="str">
        <f>IF(Calculation!E90=Calculation!$A$148,Calculation!B90,"")</f>
        <v/>
      </c>
      <c r="B90" s="53" t="str">
        <f>IF(Calculation!E90=Calculation!$A$148,Calculation!I90,"")</f>
        <v/>
      </c>
      <c r="C90" s="52" t="str">
        <f>IF(Calculation!E90=Calculation!$A$148,Calculation!D90,"")</f>
        <v/>
      </c>
      <c r="D90" s="52" t="str">
        <f>IF(Calculation!E90=Calculation!$A$148,Calculation!C90,"")</f>
        <v/>
      </c>
      <c r="E90" s="52" t="str">
        <f>IF(Calculation!E90=Calculation!$A$148,Calculation!F90,"")</f>
        <v/>
      </c>
      <c r="F90" s="54" t="str">
        <f>IF(Calculation!E90=Calculation!$A$148,Calculation!G90,"")</f>
        <v/>
      </c>
      <c r="G90" s="54" t="str">
        <f>IF(Calculation!E90=Calculation!$A$148,Calculation!H90,"")</f>
        <v/>
      </c>
      <c r="H90" s="55"/>
    </row>
    <row r="91">
      <c r="A91" s="52" t="str">
        <f>IF(Calculation!E91=Calculation!$A$148,Calculation!B91,"")</f>
        <v/>
      </c>
      <c r="B91" s="53" t="str">
        <f>IF(Calculation!E91=Calculation!$A$148,Calculation!I91,"")</f>
        <v/>
      </c>
      <c r="C91" s="52" t="str">
        <f>IF(Calculation!E91=Calculation!$A$148,Calculation!D91,"")</f>
        <v/>
      </c>
      <c r="D91" s="52" t="str">
        <f>IF(Calculation!E91=Calculation!$A$148,Calculation!C91,"")</f>
        <v/>
      </c>
      <c r="E91" s="52" t="str">
        <f>IF(Calculation!E91=Calculation!$A$148,Calculation!F91,"")</f>
        <v/>
      </c>
      <c r="F91" s="54" t="str">
        <f>IF(Calculation!E91=Calculation!$A$148,Calculation!G91,"")</f>
        <v/>
      </c>
      <c r="G91" s="54" t="str">
        <f>IF(Calculation!E91=Calculation!$A$148,Calculation!H91,"")</f>
        <v/>
      </c>
      <c r="H91" s="55"/>
    </row>
    <row r="92">
      <c r="A92" s="52" t="str">
        <f>IF(Calculation!E92=Calculation!$A$148,Calculation!B92,"")</f>
        <v/>
      </c>
      <c r="B92" s="53" t="str">
        <f>IF(Calculation!E92=Calculation!$A$148,Calculation!I92,"")</f>
        <v/>
      </c>
      <c r="C92" s="52" t="str">
        <f>IF(Calculation!E92=Calculation!$A$148,Calculation!D92,"")</f>
        <v/>
      </c>
      <c r="D92" s="52" t="str">
        <f>IF(Calculation!E92=Calculation!$A$148,Calculation!C92,"")</f>
        <v/>
      </c>
      <c r="E92" s="52" t="str">
        <f>IF(Calculation!E92=Calculation!$A$148,Calculation!F92,"")</f>
        <v/>
      </c>
      <c r="F92" s="54" t="str">
        <f>IF(Calculation!E92=Calculation!$A$148,Calculation!G92,"")</f>
        <v/>
      </c>
      <c r="G92" s="54" t="str">
        <f>IF(Calculation!E92=Calculation!$A$148,Calculation!H92,"")</f>
        <v/>
      </c>
      <c r="H92" s="55"/>
    </row>
    <row r="93">
      <c r="A93" s="52" t="str">
        <f>IF(Calculation!E93=Calculation!$A$148,Calculation!B93,"")</f>
        <v/>
      </c>
      <c r="B93" s="53" t="str">
        <f>IF(Calculation!E93=Calculation!$A$148,Calculation!I93,"")</f>
        <v/>
      </c>
      <c r="C93" s="52" t="str">
        <f>IF(Calculation!E93=Calculation!$A$148,Calculation!D93,"")</f>
        <v/>
      </c>
      <c r="D93" s="52" t="str">
        <f>IF(Calculation!E93=Calculation!$A$148,Calculation!C93,"")</f>
        <v/>
      </c>
      <c r="E93" s="52" t="str">
        <f>IF(Calculation!E93=Calculation!$A$148,Calculation!F93,"")</f>
        <v/>
      </c>
      <c r="F93" s="54" t="str">
        <f>IF(Calculation!E93=Calculation!$A$148,Calculation!G93,"")</f>
        <v/>
      </c>
      <c r="G93" s="54" t="str">
        <f>IF(Calculation!E93=Calculation!$A$148,Calculation!H93,"")</f>
        <v/>
      </c>
      <c r="H93" s="55"/>
    </row>
    <row r="94">
      <c r="A94" s="52" t="str">
        <f>IF(Calculation!E94=Calculation!$A$148,Calculation!B94,"")</f>
        <v/>
      </c>
      <c r="B94" s="53" t="str">
        <f>IF(Calculation!E94=Calculation!$A$148,Calculation!I94,"")</f>
        <v/>
      </c>
      <c r="C94" s="52" t="str">
        <f>IF(Calculation!E94=Calculation!$A$148,Calculation!D94,"")</f>
        <v/>
      </c>
      <c r="D94" s="52" t="str">
        <f>IF(Calculation!E94=Calculation!$A$148,Calculation!C94,"")</f>
        <v/>
      </c>
      <c r="E94" s="52" t="str">
        <f>IF(Calculation!E94=Calculation!$A$148,Calculation!F94,"")</f>
        <v/>
      </c>
      <c r="F94" s="54" t="str">
        <f>IF(Calculation!E94=Calculation!$A$148,Calculation!G94,"")</f>
        <v/>
      </c>
      <c r="G94" s="54" t="str">
        <f>IF(Calculation!E94=Calculation!$A$148,Calculation!H94,"")</f>
        <v/>
      </c>
      <c r="H94" s="55"/>
    </row>
    <row r="95">
      <c r="A95" s="52" t="str">
        <f>IF(Calculation!E95=Calculation!$A$148,Calculation!B95,"")</f>
        <v/>
      </c>
      <c r="B95" s="53" t="str">
        <f>IF(Calculation!E95=Calculation!$A$148,Calculation!I95,"")</f>
        <v/>
      </c>
      <c r="C95" s="52" t="str">
        <f>IF(Calculation!E95=Calculation!$A$148,Calculation!D95,"")</f>
        <v/>
      </c>
      <c r="D95" s="52" t="str">
        <f>IF(Calculation!E95=Calculation!$A$148,Calculation!C95,"")</f>
        <v/>
      </c>
      <c r="E95" s="52" t="str">
        <f>IF(Calculation!E95=Calculation!$A$148,Calculation!F95,"")</f>
        <v/>
      </c>
      <c r="F95" s="54" t="str">
        <f>IF(Calculation!E95=Calculation!$A$148,Calculation!G95,"")</f>
        <v/>
      </c>
      <c r="G95" s="54" t="str">
        <f>IF(Calculation!E95=Calculation!$A$148,Calculation!H95,"")</f>
        <v/>
      </c>
      <c r="H95" s="55"/>
    </row>
    <row r="96">
      <c r="A96" s="52" t="str">
        <f>IF(Calculation!E96=Calculation!$A$148,Calculation!B96,"")</f>
        <v/>
      </c>
      <c r="B96" s="53" t="str">
        <f>IF(Calculation!E96=Calculation!$A$148,Calculation!I96,"")</f>
        <v/>
      </c>
      <c r="C96" s="52" t="str">
        <f>IF(Calculation!E96=Calculation!$A$148,Calculation!D96,"")</f>
        <v/>
      </c>
      <c r="D96" s="52" t="str">
        <f>IF(Calculation!E96=Calculation!$A$148,Calculation!C96,"")</f>
        <v/>
      </c>
      <c r="E96" s="52" t="str">
        <f>IF(Calculation!E96=Calculation!$A$148,Calculation!F96,"")</f>
        <v/>
      </c>
      <c r="F96" s="54" t="str">
        <f>IF(Calculation!E96=Calculation!$A$148,Calculation!G96,"")</f>
        <v/>
      </c>
      <c r="G96" s="54" t="str">
        <f>IF(Calculation!E96=Calculation!$A$148,Calculation!H96,"")</f>
        <v/>
      </c>
      <c r="H96" s="55"/>
    </row>
    <row r="97">
      <c r="A97" s="52" t="str">
        <f>IF(Calculation!E97=Calculation!$A$148,Calculation!B97,"")</f>
        <v/>
      </c>
      <c r="B97" s="53" t="str">
        <f>IF(Calculation!E97=Calculation!$A$148,Calculation!I97,"")</f>
        <v/>
      </c>
      <c r="C97" s="52" t="str">
        <f>IF(Calculation!E97=Calculation!$A$148,Calculation!D97,"")</f>
        <v/>
      </c>
      <c r="D97" s="52" t="str">
        <f>IF(Calculation!E97=Calculation!$A$148,Calculation!C97,"")</f>
        <v/>
      </c>
      <c r="E97" s="52" t="str">
        <f>IF(Calculation!E97=Calculation!$A$148,Calculation!F97,"")</f>
        <v/>
      </c>
      <c r="F97" s="54" t="str">
        <f>IF(Calculation!E97=Calculation!$A$148,Calculation!G97,"")</f>
        <v/>
      </c>
      <c r="G97" s="54" t="str">
        <f>IF(Calculation!E97=Calculation!$A$148,Calculation!H97,"")</f>
        <v/>
      </c>
      <c r="H97" s="55"/>
    </row>
    <row r="98">
      <c r="A98" s="52" t="str">
        <f>IF(Calculation!E98=Calculation!$A$148,Calculation!B98,"")</f>
        <v/>
      </c>
      <c r="B98" s="53" t="str">
        <f>IF(Calculation!E98=Calculation!$A$148,Calculation!I98,"")</f>
        <v/>
      </c>
      <c r="C98" s="52" t="str">
        <f>IF(Calculation!E98=Calculation!$A$148,Calculation!D98,"")</f>
        <v/>
      </c>
      <c r="D98" s="52" t="str">
        <f>IF(Calculation!E98=Calculation!$A$148,Calculation!C98,"")</f>
        <v/>
      </c>
      <c r="E98" s="52" t="str">
        <f>IF(Calculation!E98=Calculation!$A$148,Calculation!F98,"")</f>
        <v/>
      </c>
      <c r="F98" s="54" t="str">
        <f>IF(Calculation!E98=Calculation!$A$148,Calculation!G98,"")</f>
        <v/>
      </c>
      <c r="G98" s="54" t="str">
        <f>IF(Calculation!E98=Calculation!$A$148,Calculation!H98,"")</f>
        <v/>
      </c>
      <c r="H98" s="55"/>
    </row>
    <row r="99">
      <c r="A99" s="52" t="str">
        <f>IF(Calculation!E99=Calculation!$A$148,Calculation!B99,"")</f>
        <v/>
      </c>
      <c r="B99" s="53" t="str">
        <f>IF(Calculation!E99=Calculation!$A$148,Calculation!I99,"")</f>
        <v/>
      </c>
      <c r="C99" s="52" t="str">
        <f>IF(Calculation!E99=Calculation!$A$148,Calculation!D99,"")</f>
        <v/>
      </c>
      <c r="D99" s="52" t="str">
        <f>IF(Calculation!E99=Calculation!$A$148,Calculation!C99,"")</f>
        <v/>
      </c>
      <c r="E99" s="52" t="str">
        <f>IF(Calculation!E99=Calculation!$A$148,Calculation!F99,"")</f>
        <v/>
      </c>
      <c r="F99" s="54" t="str">
        <f>IF(Calculation!E99=Calculation!$A$148,Calculation!G99,"")</f>
        <v/>
      </c>
      <c r="G99" s="54" t="str">
        <f>IF(Calculation!E99=Calculation!$A$148,Calculation!H99,"")</f>
        <v/>
      </c>
      <c r="H99" s="55"/>
    </row>
    <row r="100">
      <c r="A100" s="52" t="str">
        <f>IF(Calculation!E100=Calculation!$A$148,Calculation!B100,"")</f>
        <v/>
      </c>
      <c r="B100" s="53" t="str">
        <f>IF(Calculation!E100=Calculation!$A$148,Calculation!I100,"")</f>
        <v/>
      </c>
      <c r="C100" s="52" t="str">
        <f>IF(Calculation!E100=Calculation!$A$148,Calculation!D100,"")</f>
        <v/>
      </c>
      <c r="D100" s="52" t="str">
        <f>IF(Calculation!E100=Calculation!$A$148,Calculation!C100,"")</f>
        <v/>
      </c>
      <c r="E100" s="52" t="str">
        <f>IF(Calculation!E100=Calculation!$A$148,Calculation!F100,"")</f>
        <v/>
      </c>
      <c r="F100" s="54" t="str">
        <f>IF(Calculation!E100=Calculation!$A$148,Calculation!G100,"")</f>
        <v/>
      </c>
      <c r="G100" s="54" t="str">
        <f>IF(Calculation!E100=Calculation!$A$148,Calculation!H100,"")</f>
        <v/>
      </c>
      <c r="H100" s="55"/>
    </row>
    <row r="101">
      <c r="A101" s="52" t="str">
        <f>IF(Calculation!E101=Calculation!$A$148,Calculation!B101,"")</f>
        <v/>
      </c>
      <c r="B101" s="53" t="str">
        <f>IF(Calculation!E101=Calculation!$A$148,Calculation!I101,"")</f>
        <v/>
      </c>
      <c r="C101" s="52" t="str">
        <f>IF(Calculation!E101=Calculation!$A$148,Calculation!D101,"")</f>
        <v/>
      </c>
      <c r="D101" s="52" t="str">
        <f>IF(Calculation!E101=Calculation!$A$148,Calculation!C101,"")</f>
        <v/>
      </c>
      <c r="E101" s="52" t="str">
        <f>IF(Calculation!E101=Calculation!$A$148,Calculation!F101,"")</f>
        <v/>
      </c>
      <c r="F101" s="54" t="str">
        <f>IF(Calculation!E101=Calculation!$A$148,Calculation!G101,"")</f>
        <v/>
      </c>
      <c r="G101" s="54" t="str">
        <f>IF(Calculation!E101=Calculation!$A$148,Calculation!H101,"")</f>
        <v/>
      </c>
      <c r="H101" s="55"/>
    </row>
    <row r="102">
      <c r="A102" s="52" t="str">
        <f>IF(Calculation!E102=Calculation!$A$148,Calculation!B102,"")</f>
        <v/>
      </c>
      <c r="B102" s="53" t="str">
        <f>IF(Calculation!E102=Calculation!$A$148,Calculation!I102,"")</f>
        <v/>
      </c>
      <c r="C102" s="52" t="str">
        <f>IF(Calculation!E102=Calculation!$A$148,Calculation!D102,"")</f>
        <v/>
      </c>
      <c r="D102" s="52" t="str">
        <f>IF(Calculation!E102=Calculation!$A$148,Calculation!C102,"")</f>
        <v/>
      </c>
      <c r="E102" s="52" t="str">
        <f>IF(Calculation!E102=Calculation!$A$148,Calculation!F102,"")</f>
        <v/>
      </c>
      <c r="F102" s="54" t="str">
        <f>IF(Calculation!E102=Calculation!$A$148,Calculation!G102,"")</f>
        <v/>
      </c>
      <c r="G102" s="54" t="str">
        <f>IF(Calculation!E102=Calculation!$A$148,Calculation!H102,"")</f>
        <v/>
      </c>
      <c r="H102" s="55"/>
    </row>
    <row r="103">
      <c r="A103" s="52" t="str">
        <f>IF(Calculation!E103=Calculation!$A$148,Calculation!B103,"")</f>
        <v/>
      </c>
      <c r="B103" s="53" t="str">
        <f>IF(Calculation!E103=Calculation!$A$148,Calculation!I103,"")</f>
        <v/>
      </c>
      <c r="C103" s="52" t="str">
        <f>IF(Calculation!E103=Calculation!$A$148,Calculation!D103,"")</f>
        <v/>
      </c>
      <c r="D103" s="52" t="str">
        <f>IF(Calculation!E103=Calculation!$A$148,Calculation!C103,"")</f>
        <v/>
      </c>
      <c r="E103" s="52" t="str">
        <f>IF(Calculation!E103=Calculation!$A$148,Calculation!F103,"")</f>
        <v/>
      </c>
      <c r="F103" s="54" t="str">
        <f>IF(Calculation!E103=Calculation!$A$148,Calculation!G103,"")</f>
        <v/>
      </c>
      <c r="G103" s="54" t="str">
        <f>IF(Calculation!E103=Calculation!$A$148,Calculation!H103,"")</f>
        <v/>
      </c>
      <c r="H103" s="55"/>
    </row>
    <row r="104">
      <c r="A104" s="52" t="str">
        <f>IF(Calculation!E104=Calculation!$A$148,Calculation!B104,"")</f>
        <v/>
      </c>
      <c r="B104" s="53" t="str">
        <f>IF(Calculation!E104=Calculation!$A$148,Calculation!I104,"")</f>
        <v/>
      </c>
      <c r="C104" s="52" t="str">
        <f>IF(Calculation!E104=Calculation!$A$148,Calculation!D104,"")</f>
        <v/>
      </c>
      <c r="D104" s="52" t="str">
        <f>IF(Calculation!E104=Calculation!$A$148,Calculation!C104,"")</f>
        <v/>
      </c>
      <c r="E104" s="52" t="str">
        <f>IF(Calculation!E104=Calculation!$A$148,Calculation!F104,"")</f>
        <v/>
      </c>
      <c r="F104" s="54" t="str">
        <f>IF(Calculation!E104=Calculation!$A$148,Calculation!G104,"")</f>
        <v/>
      </c>
      <c r="G104" s="54" t="str">
        <f>IF(Calculation!E104=Calculation!$A$148,Calculation!H104,"")</f>
        <v/>
      </c>
      <c r="H104" s="55"/>
    </row>
    <row r="105">
      <c r="A105" s="52" t="str">
        <f>IF(Calculation!E105=Calculation!$A$148,Calculation!B105,"")</f>
        <v/>
      </c>
      <c r="B105" s="53" t="str">
        <f>IF(Calculation!E105=Calculation!$A$148,Calculation!I105,"")</f>
        <v/>
      </c>
      <c r="C105" s="52" t="str">
        <f>IF(Calculation!E105=Calculation!$A$148,Calculation!D105,"")</f>
        <v/>
      </c>
      <c r="D105" s="52" t="str">
        <f>IF(Calculation!E105=Calculation!$A$148,Calculation!C105,"")</f>
        <v/>
      </c>
      <c r="E105" s="52" t="str">
        <f>IF(Calculation!E105=Calculation!$A$148,Calculation!F105,"")</f>
        <v/>
      </c>
      <c r="F105" s="54" t="str">
        <f>IF(Calculation!E105=Calculation!$A$148,Calculation!G105,"")</f>
        <v/>
      </c>
      <c r="G105" s="54" t="str">
        <f>IF(Calculation!E105=Calculation!$A$148,Calculation!H105,"")</f>
        <v/>
      </c>
      <c r="H105" s="55"/>
    </row>
    <row r="106">
      <c r="A106" s="52" t="str">
        <f>IF(Calculation!E106=Calculation!$A$148,Calculation!B106,"")</f>
        <v/>
      </c>
      <c r="B106" s="53" t="str">
        <f>IF(Calculation!E106=Calculation!$A$148,Calculation!I106,"")</f>
        <v/>
      </c>
      <c r="C106" s="52" t="str">
        <f>IF(Calculation!E106=Calculation!$A$148,Calculation!D106,"")</f>
        <v/>
      </c>
      <c r="D106" s="52" t="str">
        <f>IF(Calculation!E106=Calculation!$A$148,Calculation!C106,"")</f>
        <v/>
      </c>
      <c r="E106" s="52" t="str">
        <f>IF(Calculation!E106=Calculation!$A$148,Calculation!F106,"")</f>
        <v/>
      </c>
      <c r="F106" s="54" t="str">
        <f>IF(Calculation!E106=Calculation!$A$148,Calculation!G106,"")</f>
        <v/>
      </c>
      <c r="G106" s="54" t="str">
        <f>IF(Calculation!E106=Calculation!$A$148,Calculation!H106,"")</f>
        <v/>
      </c>
      <c r="H106" s="55"/>
    </row>
    <row r="107">
      <c r="A107" s="52" t="str">
        <f>IF(Calculation!E107=Calculation!$A$148,Calculation!B107,"")</f>
        <v/>
      </c>
      <c r="B107" s="53" t="str">
        <f>IF(Calculation!E107=Calculation!$A$148,Calculation!I107,"")</f>
        <v/>
      </c>
      <c r="C107" s="52" t="str">
        <f>IF(Calculation!E107=Calculation!$A$148,Calculation!D107,"")</f>
        <v/>
      </c>
      <c r="D107" s="52" t="str">
        <f>IF(Calculation!E107=Calculation!$A$148,Calculation!C107,"")</f>
        <v/>
      </c>
      <c r="E107" s="52" t="str">
        <f>IF(Calculation!E107=Calculation!$A$148,Calculation!F107,"")</f>
        <v/>
      </c>
      <c r="F107" s="54" t="str">
        <f>IF(Calculation!E107=Calculation!$A$148,Calculation!G107,"")</f>
        <v/>
      </c>
      <c r="G107" s="54" t="str">
        <f>IF(Calculation!E107=Calculation!$A$148,Calculation!H107,"")</f>
        <v/>
      </c>
      <c r="H107" s="55"/>
    </row>
    <row r="108">
      <c r="A108" s="52" t="str">
        <f>IF(Calculation!E108=Calculation!$A$148,Calculation!B108,"")</f>
        <v/>
      </c>
      <c r="B108" s="53" t="str">
        <f>IF(Calculation!E108=Calculation!$A$148,Calculation!I108,"")</f>
        <v/>
      </c>
      <c r="C108" s="52" t="str">
        <f>IF(Calculation!E108=Calculation!$A$148,Calculation!D108,"")</f>
        <v/>
      </c>
      <c r="D108" s="52" t="str">
        <f>IF(Calculation!E108=Calculation!$A$148,Calculation!C108,"")</f>
        <v/>
      </c>
      <c r="E108" s="52" t="str">
        <f>IF(Calculation!E108=Calculation!$A$148,Calculation!F108,"")</f>
        <v/>
      </c>
      <c r="F108" s="54" t="str">
        <f>IF(Calculation!E108=Calculation!$A$148,Calculation!G108,"")</f>
        <v/>
      </c>
      <c r="G108" s="54" t="str">
        <f>IF(Calculation!E108=Calculation!$A$148,Calculation!H108,"")</f>
        <v/>
      </c>
      <c r="H108" s="55"/>
    </row>
    <row r="109">
      <c r="A109" s="52" t="str">
        <f>IF(Calculation!E109=Calculation!$A$148,Calculation!B109,"")</f>
        <v/>
      </c>
      <c r="B109" s="53" t="str">
        <f>IF(Calculation!E109=Calculation!$A$148,Calculation!I109,"")</f>
        <v/>
      </c>
      <c r="C109" s="52" t="str">
        <f>IF(Calculation!E109=Calculation!$A$148,Calculation!D109,"")</f>
        <v/>
      </c>
      <c r="D109" s="52" t="str">
        <f>IF(Calculation!E109=Calculation!$A$148,Calculation!C109,"")</f>
        <v/>
      </c>
      <c r="E109" s="52" t="str">
        <f>IF(Calculation!E109=Calculation!$A$148,Calculation!F109,"")</f>
        <v/>
      </c>
      <c r="F109" s="54" t="str">
        <f>IF(Calculation!E109=Calculation!$A$148,Calculation!G109,"")</f>
        <v/>
      </c>
      <c r="G109" s="54" t="str">
        <f>IF(Calculation!E109=Calculation!$A$148,Calculation!H109,"")</f>
        <v/>
      </c>
      <c r="H109" s="55"/>
    </row>
    <row r="110">
      <c r="A110" s="52" t="str">
        <f>IF(Calculation!E110=Calculation!$A$148,Calculation!B110,"")</f>
        <v/>
      </c>
      <c r="B110" s="53" t="str">
        <f>IF(Calculation!E110=Calculation!$A$148,Calculation!I110,"")</f>
        <v/>
      </c>
      <c r="C110" s="52" t="str">
        <f>IF(Calculation!E110=Calculation!$A$148,Calculation!D110,"")</f>
        <v/>
      </c>
      <c r="D110" s="52" t="str">
        <f>IF(Calculation!E110=Calculation!$A$148,Calculation!C110,"")</f>
        <v/>
      </c>
      <c r="E110" s="52" t="str">
        <f>IF(Calculation!E110=Calculation!$A$148,Calculation!F110,"")</f>
        <v/>
      </c>
      <c r="F110" s="54" t="str">
        <f>IF(Calculation!E110=Calculation!$A$148,Calculation!G110,"")</f>
        <v/>
      </c>
      <c r="G110" s="54" t="str">
        <f>IF(Calculation!E110=Calculation!$A$148,Calculation!H110,"")</f>
        <v/>
      </c>
      <c r="H110" s="55"/>
    </row>
    <row r="111">
      <c r="A111" s="52" t="str">
        <f>IF(Calculation!E111=Calculation!$A$148,Calculation!B111,"")</f>
        <v/>
      </c>
      <c r="B111" s="53" t="str">
        <f>IF(Calculation!E111=Calculation!$A$148,Calculation!I111,"")</f>
        <v/>
      </c>
      <c r="C111" s="52" t="str">
        <f>IF(Calculation!E111=Calculation!$A$148,Calculation!D111,"")</f>
        <v/>
      </c>
      <c r="D111" s="52" t="str">
        <f>IF(Calculation!E111=Calculation!$A$148,Calculation!C111,"")</f>
        <v/>
      </c>
      <c r="E111" s="52" t="str">
        <f>IF(Calculation!E111=Calculation!$A$148,Calculation!F111,"")</f>
        <v/>
      </c>
      <c r="F111" s="54" t="str">
        <f>IF(Calculation!E111=Calculation!$A$148,Calculation!G111,"")</f>
        <v/>
      </c>
      <c r="G111" s="54" t="str">
        <f>IF(Calculation!E111=Calculation!$A$148,Calculation!H111,"")</f>
        <v/>
      </c>
      <c r="H111" s="55"/>
    </row>
    <row r="112">
      <c r="A112" s="52" t="str">
        <f>IF(Calculation!E112=Calculation!$A$148,Calculation!B112,"")</f>
        <v/>
      </c>
      <c r="B112" s="53" t="str">
        <f>IF(Calculation!E112=Calculation!$A$148,Calculation!I112,"")</f>
        <v/>
      </c>
      <c r="C112" s="52" t="str">
        <f>IF(Calculation!E112=Calculation!$A$148,Calculation!D112,"")</f>
        <v/>
      </c>
      <c r="D112" s="52" t="str">
        <f>IF(Calculation!E112=Calculation!$A$148,Calculation!C112,"")</f>
        <v/>
      </c>
      <c r="E112" s="52" t="str">
        <f>IF(Calculation!E112=Calculation!$A$148,Calculation!F112,"")</f>
        <v/>
      </c>
      <c r="F112" s="54" t="str">
        <f>IF(Calculation!E112=Calculation!$A$148,Calculation!G112,"")</f>
        <v/>
      </c>
      <c r="G112" s="54" t="str">
        <f>IF(Calculation!E112=Calculation!$A$148,Calculation!H112,"")</f>
        <v/>
      </c>
      <c r="H112" s="55"/>
    </row>
    <row r="113">
      <c r="A113" s="52" t="str">
        <f>IF(Calculation!E113=Calculation!$A$148,Calculation!B113,"")</f>
        <v/>
      </c>
      <c r="B113" s="53" t="str">
        <f>IF(Calculation!E113=Calculation!$A$148,Calculation!I113,"")</f>
        <v/>
      </c>
      <c r="C113" s="52" t="str">
        <f>IF(Calculation!E113=Calculation!$A$148,Calculation!D113,"")</f>
        <v/>
      </c>
      <c r="D113" s="52" t="str">
        <f>IF(Calculation!E113=Calculation!$A$148,Calculation!C113,"")</f>
        <v/>
      </c>
      <c r="E113" s="52" t="str">
        <f>IF(Calculation!E113=Calculation!$A$148,Calculation!F113,"")</f>
        <v/>
      </c>
      <c r="F113" s="54" t="str">
        <f>IF(Calculation!E113=Calculation!$A$148,Calculation!G113,"")</f>
        <v/>
      </c>
      <c r="G113" s="54" t="str">
        <f>IF(Calculation!E113=Calculation!$A$148,Calculation!H113,"")</f>
        <v/>
      </c>
      <c r="H113" s="55"/>
    </row>
    <row r="114">
      <c r="A114" s="52" t="str">
        <f>IF(Calculation!E114=Calculation!$A$148,Calculation!B114,"")</f>
        <v/>
      </c>
      <c r="B114" s="53" t="str">
        <f>IF(Calculation!E114=Calculation!$A$148,Calculation!I114,"")</f>
        <v/>
      </c>
      <c r="C114" s="52" t="str">
        <f>IF(Calculation!E114=Calculation!$A$148,Calculation!D114,"")</f>
        <v/>
      </c>
      <c r="D114" s="52" t="str">
        <f>IF(Calculation!E114=Calculation!$A$148,Calculation!C114,"")</f>
        <v/>
      </c>
      <c r="E114" s="52" t="str">
        <f>IF(Calculation!E114=Calculation!$A$148,Calculation!F114,"")</f>
        <v/>
      </c>
      <c r="F114" s="54" t="str">
        <f>IF(Calculation!E114=Calculation!$A$148,Calculation!G114,"")</f>
        <v/>
      </c>
      <c r="G114" s="54" t="str">
        <f>IF(Calculation!E114=Calculation!$A$148,Calculation!H114,"")</f>
        <v/>
      </c>
      <c r="H114" s="55"/>
    </row>
    <row r="115">
      <c r="A115" s="52" t="str">
        <f>IF(Calculation!E115=Calculation!$A$148,Calculation!B115,"")</f>
        <v/>
      </c>
      <c r="B115" s="53" t="str">
        <f>IF(Calculation!E115=Calculation!$A$148,Calculation!I115,"")</f>
        <v/>
      </c>
      <c r="C115" s="52" t="str">
        <f>IF(Calculation!E115=Calculation!$A$148,Calculation!D115,"")</f>
        <v/>
      </c>
      <c r="D115" s="52" t="str">
        <f>IF(Calculation!E115=Calculation!$A$148,Calculation!C115,"")</f>
        <v/>
      </c>
      <c r="E115" s="52" t="str">
        <f>IF(Calculation!E115=Calculation!$A$148,Calculation!F115,"")</f>
        <v/>
      </c>
      <c r="F115" s="54" t="str">
        <f>IF(Calculation!E115=Calculation!$A$148,Calculation!G115,"")</f>
        <v/>
      </c>
      <c r="G115" s="54" t="str">
        <f>IF(Calculation!E115=Calculation!$A$148,Calculation!H115,"")</f>
        <v/>
      </c>
      <c r="H115" s="55"/>
    </row>
    <row r="116">
      <c r="A116" s="52" t="str">
        <f>IF(Calculation!E116=Calculation!$A$148,Calculation!B116,"")</f>
        <v/>
      </c>
      <c r="B116" s="53" t="str">
        <f>IF(Calculation!E116=Calculation!$A$148,Calculation!I116,"")</f>
        <v/>
      </c>
      <c r="C116" s="52" t="str">
        <f>IF(Calculation!E116=Calculation!$A$148,Calculation!D116,"")</f>
        <v/>
      </c>
      <c r="D116" s="52" t="str">
        <f>IF(Calculation!E116=Calculation!$A$148,Calculation!C116,"")</f>
        <v/>
      </c>
      <c r="E116" s="52" t="str">
        <f>IF(Calculation!E116=Calculation!$A$148,Calculation!F116,"")</f>
        <v/>
      </c>
      <c r="F116" s="54" t="str">
        <f>IF(Calculation!E116=Calculation!$A$148,Calculation!G116,"")</f>
        <v/>
      </c>
      <c r="G116" s="54" t="str">
        <f>IF(Calculation!E116=Calculation!$A$148,Calculation!H116,"")</f>
        <v/>
      </c>
      <c r="H116" s="55"/>
    </row>
    <row r="117">
      <c r="A117" s="52" t="str">
        <f>IF(Calculation!E117=Calculation!$A$148,Calculation!B117,"")</f>
        <v/>
      </c>
      <c r="B117" s="53" t="str">
        <f>IF(Calculation!E117=Calculation!$A$148,Calculation!I117,"")</f>
        <v/>
      </c>
      <c r="C117" s="52" t="str">
        <f>IF(Calculation!E117=Calculation!$A$148,Calculation!D117,"")</f>
        <v/>
      </c>
      <c r="D117" s="52" t="str">
        <f>IF(Calculation!E117=Calculation!$A$148,Calculation!C117,"")</f>
        <v/>
      </c>
      <c r="E117" s="52" t="str">
        <f>IF(Calculation!E117=Calculation!$A$148,Calculation!F117,"")</f>
        <v/>
      </c>
      <c r="F117" s="54" t="str">
        <f>IF(Calculation!E117=Calculation!$A$148,Calculation!G117,"")</f>
        <v/>
      </c>
      <c r="G117" s="54" t="str">
        <f>IF(Calculation!E117=Calculation!$A$148,Calculation!H117,"")</f>
        <v/>
      </c>
      <c r="H117" s="55"/>
    </row>
    <row r="118">
      <c r="A118" s="52" t="str">
        <f>IF(Calculation!E118=Calculation!$A$148,Calculation!B118,"")</f>
        <v/>
      </c>
      <c r="B118" s="53" t="str">
        <f>IF(Calculation!E118=Calculation!$A$148,Calculation!I118,"")</f>
        <v/>
      </c>
      <c r="C118" s="52" t="str">
        <f>IF(Calculation!E118=Calculation!$A$148,Calculation!D118,"")</f>
        <v/>
      </c>
      <c r="D118" s="52" t="str">
        <f>IF(Calculation!E118=Calculation!$A$148,Calculation!C118,"")</f>
        <v/>
      </c>
      <c r="E118" s="52" t="str">
        <f>IF(Calculation!E118=Calculation!$A$148,Calculation!F118,"")</f>
        <v/>
      </c>
      <c r="F118" s="54" t="str">
        <f>IF(Calculation!E118=Calculation!$A$148,Calculation!G118,"")</f>
        <v/>
      </c>
      <c r="G118" s="54" t="str">
        <f>IF(Calculation!E118=Calculation!$A$148,Calculation!H118,"")</f>
        <v/>
      </c>
      <c r="H118" s="55"/>
    </row>
    <row r="119">
      <c r="A119" s="52" t="str">
        <f>IF(Calculation!E119=Calculation!$A$148,Calculation!B119,"")</f>
        <v/>
      </c>
      <c r="B119" s="53" t="str">
        <f>IF(Calculation!E119=Calculation!$A$148,Calculation!I119,"")</f>
        <v/>
      </c>
      <c r="C119" s="52" t="str">
        <f>IF(Calculation!E119=Calculation!$A$148,Calculation!D119,"")</f>
        <v/>
      </c>
      <c r="D119" s="52" t="str">
        <f>IF(Calculation!E119=Calculation!$A$148,Calculation!C119,"")</f>
        <v/>
      </c>
      <c r="E119" s="52" t="str">
        <f>IF(Calculation!E119=Calculation!$A$148,Calculation!F119,"")</f>
        <v/>
      </c>
      <c r="F119" s="54" t="str">
        <f>IF(Calculation!E119=Calculation!$A$148,Calculation!G119,"")</f>
        <v/>
      </c>
      <c r="G119" s="54" t="str">
        <f>IF(Calculation!E119=Calculation!$A$148,Calculation!H119,"")</f>
        <v/>
      </c>
      <c r="H119" s="55"/>
    </row>
    <row r="120">
      <c r="A120" s="52" t="str">
        <f>IF(Calculation!E120=Calculation!$A$148,Calculation!B120,"")</f>
        <v/>
      </c>
      <c r="B120" s="53" t="str">
        <f>IF(Calculation!E120=Calculation!$A$148,Calculation!I120,"")</f>
        <v/>
      </c>
      <c r="C120" s="52" t="str">
        <f>IF(Calculation!E120=Calculation!$A$148,Calculation!D120,"")</f>
        <v/>
      </c>
      <c r="D120" s="52" t="str">
        <f>IF(Calculation!E120=Calculation!$A$148,Calculation!C120,"")</f>
        <v/>
      </c>
      <c r="E120" s="52" t="str">
        <f>IF(Calculation!E120=Calculation!$A$148,Calculation!F120,"")</f>
        <v/>
      </c>
      <c r="F120" s="54" t="str">
        <f>IF(Calculation!E120=Calculation!$A$148,Calculation!G120,"")</f>
        <v/>
      </c>
      <c r="G120" s="54" t="str">
        <f>IF(Calculation!E120=Calculation!$A$148,Calculation!H120,"")</f>
        <v/>
      </c>
      <c r="H120" s="55"/>
    </row>
    <row r="121">
      <c r="A121" s="52" t="str">
        <f>IF(Calculation!E121=Calculation!$A$148,Calculation!B121,"")</f>
        <v/>
      </c>
      <c r="B121" s="53" t="str">
        <f>IF(Calculation!E121=Calculation!$A$148,Calculation!I121,"")</f>
        <v/>
      </c>
      <c r="C121" s="52" t="str">
        <f>IF(Calculation!E121=Calculation!$A$148,Calculation!D121,"")</f>
        <v/>
      </c>
      <c r="D121" s="52" t="str">
        <f>IF(Calculation!E121=Calculation!$A$148,Calculation!C121,"")</f>
        <v/>
      </c>
      <c r="E121" s="52" t="str">
        <f>IF(Calculation!E121=Calculation!$A$148,Calculation!F121,"")</f>
        <v/>
      </c>
      <c r="F121" s="54" t="str">
        <f>IF(Calculation!E121=Calculation!$A$148,Calculation!G121,"")</f>
        <v/>
      </c>
      <c r="G121" s="54" t="str">
        <f>IF(Calculation!E121=Calculation!$A$148,Calculation!H121,"")</f>
        <v/>
      </c>
      <c r="H121" s="55"/>
    </row>
    <row r="122">
      <c r="A122" s="52" t="str">
        <f>IF(Calculation!E122=Calculation!$A$148,Calculation!B122,"")</f>
        <v/>
      </c>
      <c r="B122" s="53" t="str">
        <f>IF(Calculation!E122=Calculation!$A$148,Calculation!I122,"")</f>
        <v/>
      </c>
      <c r="C122" s="52" t="str">
        <f>IF(Calculation!E122=Calculation!$A$148,Calculation!D122,"")</f>
        <v/>
      </c>
      <c r="D122" s="52" t="str">
        <f>IF(Calculation!E122=Calculation!$A$148,Calculation!C122,"")</f>
        <v/>
      </c>
      <c r="E122" s="52" t="str">
        <f>IF(Calculation!E122=Calculation!$A$148,Calculation!F122,"")</f>
        <v/>
      </c>
      <c r="F122" s="54" t="str">
        <f>IF(Calculation!E122=Calculation!$A$148,Calculation!G122,"")</f>
        <v/>
      </c>
      <c r="G122" s="54" t="str">
        <f>IF(Calculation!E122=Calculation!$A$148,Calculation!H122,"")</f>
        <v/>
      </c>
      <c r="H122" s="55"/>
    </row>
    <row r="123">
      <c r="A123" s="52" t="str">
        <f>IF(Calculation!E123=Calculation!$A$148,Calculation!B123,"")</f>
        <v/>
      </c>
      <c r="B123" s="53" t="str">
        <f>IF(Calculation!E123=Calculation!$A$148,Calculation!I123,"")</f>
        <v/>
      </c>
      <c r="C123" s="52" t="str">
        <f>IF(Calculation!E123=Calculation!$A$148,Calculation!D123,"")</f>
        <v/>
      </c>
      <c r="D123" s="52" t="str">
        <f>IF(Calculation!E123=Calculation!$A$148,Calculation!C123,"")</f>
        <v/>
      </c>
      <c r="E123" s="52" t="str">
        <f>IF(Calculation!E123=Calculation!$A$148,Calculation!F123,"")</f>
        <v/>
      </c>
      <c r="F123" s="54" t="str">
        <f>IF(Calculation!E123=Calculation!$A$148,Calculation!G123,"")</f>
        <v/>
      </c>
      <c r="G123" s="54" t="str">
        <f>IF(Calculation!E123=Calculation!$A$148,Calculation!H123,"")</f>
        <v/>
      </c>
      <c r="H123" s="55"/>
    </row>
    <row r="124">
      <c r="A124" s="52" t="str">
        <f>IF(Calculation!E124=Calculation!$A$148,Calculation!B124,"")</f>
        <v/>
      </c>
      <c r="B124" s="53" t="str">
        <f>IF(Calculation!E124=Calculation!$A$148,Calculation!I124,"")</f>
        <v/>
      </c>
      <c r="C124" s="52" t="str">
        <f>IF(Calculation!E124=Calculation!$A$148,Calculation!D124,"")</f>
        <v/>
      </c>
      <c r="D124" s="52" t="str">
        <f>IF(Calculation!E124=Calculation!$A$148,Calculation!C124,"")</f>
        <v/>
      </c>
      <c r="E124" s="52" t="str">
        <f>IF(Calculation!E124=Calculation!$A$148,Calculation!F124,"")</f>
        <v/>
      </c>
      <c r="F124" s="54" t="str">
        <f>IF(Calculation!E124=Calculation!$A$148,Calculation!G124,"")</f>
        <v/>
      </c>
      <c r="G124" s="54" t="str">
        <f>IF(Calculation!E124=Calculation!$A$148,Calculation!H124,"")</f>
        <v/>
      </c>
      <c r="H124" s="55"/>
    </row>
    <row r="125">
      <c r="A125" s="52" t="str">
        <f>IF(Calculation!E125=Calculation!$A$148,Calculation!B125,"")</f>
        <v/>
      </c>
      <c r="B125" s="53" t="str">
        <f>IF(Calculation!E125=Calculation!$A$148,Calculation!I125,"")</f>
        <v/>
      </c>
      <c r="C125" s="52" t="str">
        <f>IF(Calculation!E125=Calculation!$A$148,Calculation!D125,"")</f>
        <v/>
      </c>
      <c r="D125" s="52" t="str">
        <f>IF(Calculation!E125=Calculation!$A$148,Calculation!C125,"")</f>
        <v/>
      </c>
      <c r="E125" s="52" t="str">
        <f>IF(Calculation!E125=Calculation!$A$148,Calculation!F125,"")</f>
        <v/>
      </c>
      <c r="F125" s="54" t="str">
        <f>IF(Calculation!E125=Calculation!$A$148,Calculation!G125,"")</f>
        <v/>
      </c>
      <c r="G125" s="54" t="str">
        <f>IF(Calculation!E125=Calculation!$A$148,Calculation!H125,"")</f>
        <v/>
      </c>
      <c r="H125" s="55"/>
    </row>
  </sheetData>
  <mergeCells count="29">
    <mergeCell ref="A1:H1"/>
    <mergeCell ref="M31:O31"/>
    <mergeCell ref="M32:O32"/>
    <mergeCell ref="M33:O33"/>
    <mergeCell ref="M34:O34"/>
    <mergeCell ref="M36:P36"/>
    <mergeCell ref="M37:O37"/>
    <mergeCell ref="Q42:R42"/>
    <mergeCell ref="Q43:R43"/>
    <mergeCell ref="Q44:R44"/>
    <mergeCell ref="M38:O38"/>
    <mergeCell ref="Q38:R38"/>
    <mergeCell ref="M39:O39"/>
    <mergeCell ref="Q39:R39"/>
    <mergeCell ref="M40:O40"/>
    <mergeCell ref="Q40:R40"/>
    <mergeCell ref="Q41:R41"/>
    <mergeCell ref="M49:O49"/>
    <mergeCell ref="M50:O50"/>
    <mergeCell ref="O52:P52"/>
    <mergeCell ref="O53:P53"/>
    <mergeCell ref="Q54:R54"/>
    <mergeCell ref="M41:O41"/>
    <mergeCell ref="M42:O42"/>
    <mergeCell ref="M43:O43"/>
    <mergeCell ref="M44:O44"/>
    <mergeCell ref="M46:O46"/>
    <mergeCell ref="M47:O47"/>
    <mergeCell ref="M48:O48"/>
  </mergeCells>
  <dataValidations>
    <dataValidation type="custom" allowBlank="1" showDropDown="1" sqref="Q43">
      <formula1>OR(NOT(ISERROR(DATEVALUE(Q43))), AND(ISNUMBER(Q43), LEFT(CELL("format", Q43))="D"))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9.13"/>
    <col customWidth="1" min="3" max="3" width="18.63"/>
    <col customWidth="1" min="4" max="4" width="17.63"/>
    <col customWidth="1" min="5" max="5" width="18.75"/>
    <col customWidth="1" min="6" max="6" width="19.25"/>
    <col customWidth="1" min="7" max="8" width="17.38"/>
    <col customWidth="1" min="9" max="9" width="15.13"/>
  </cols>
  <sheetData>
    <row r="1" ht="42.0" customHeight="1">
      <c r="A1" s="49" t="s">
        <v>83</v>
      </c>
      <c r="I1" s="50"/>
      <c r="L1" s="59"/>
      <c r="M1" s="59"/>
      <c r="N1" s="59"/>
      <c r="O1" s="60"/>
      <c r="P1" s="59"/>
      <c r="Q1" s="59"/>
      <c r="R1" s="59"/>
      <c r="S1" s="59"/>
      <c r="T1" s="61"/>
    </row>
    <row r="2" ht="29.25" customHeight="1">
      <c r="A2" s="51" t="s">
        <v>45</v>
      </c>
      <c r="B2" s="51" t="s">
        <v>46</v>
      </c>
      <c r="C2" s="51" t="s">
        <v>47</v>
      </c>
      <c r="D2" s="51" t="s">
        <v>48</v>
      </c>
      <c r="E2" s="51" t="s">
        <v>49</v>
      </c>
      <c r="F2" s="51" t="s">
        <v>50</v>
      </c>
      <c r="G2" s="51" t="s">
        <v>51</v>
      </c>
      <c r="H2" s="51" t="s">
        <v>52</v>
      </c>
      <c r="L2" s="62"/>
      <c r="M2" s="62"/>
      <c r="N2" s="62"/>
      <c r="O2" s="63"/>
      <c r="P2" s="62"/>
      <c r="Q2" s="62"/>
      <c r="R2" s="62"/>
      <c r="S2" s="62"/>
      <c r="T2" s="64"/>
    </row>
    <row r="3" ht="18.75" customHeight="1">
      <c r="A3" s="52" t="str">
        <f>IF(Calculation!E3=Calculation!$A$149,Calculation!B3,"")</f>
        <v/>
      </c>
      <c r="B3" s="53" t="str">
        <f>IF(Calculation!E3=Calculation!$A$149,Calculation!I3,"")</f>
        <v/>
      </c>
      <c r="C3" s="52" t="str">
        <f>IF(Calculation!E3=Calculation!$A$149,Calculation!D3,"")</f>
        <v/>
      </c>
      <c r="D3" s="52" t="str">
        <f>IF(Calculation!E3=Calculation!$A$149,Calculation!C3,"")</f>
        <v/>
      </c>
      <c r="E3" s="52" t="str">
        <f>IF(Calculation!E3=Calculation!$A$149,Calculation!F3,"")</f>
        <v/>
      </c>
      <c r="F3" s="54" t="str">
        <f>IF(Calculation!E3=Calculation!$A$149,Calculation!G3,"")</f>
        <v/>
      </c>
      <c r="G3" s="54" t="str">
        <f>IF(Calculation!E3=Calculation!$A$149,Calculation!H3,"")</f>
        <v/>
      </c>
      <c r="H3" s="110">
        <f>SUMIF(Calculation!E3:E125,Calculation!$A$149,Calculation!H3:H125)</f>
        <v>360</v>
      </c>
      <c r="L3" s="65" t="s">
        <v>53</v>
      </c>
      <c r="P3" s="62"/>
      <c r="Q3" s="62"/>
      <c r="R3" s="62"/>
      <c r="S3" s="62"/>
      <c r="T3" s="64"/>
    </row>
    <row r="4" ht="20.25" customHeight="1">
      <c r="A4" s="52" t="str">
        <f>IF(Calculation!E4=Calculation!$A$149,Calculation!B4,"")</f>
        <v/>
      </c>
      <c r="B4" s="53" t="str">
        <f>IF(Calculation!E4=Calculation!$A$149,Calculation!I4,"")</f>
        <v/>
      </c>
      <c r="C4" s="52" t="str">
        <f>IF(Calculation!E4=Calculation!$A$149,Calculation!D4,"")</f>
        <v/>
      </c>
      <c r="D4" s="52" t="str">
        <f>IF(Calculation!E4=Calculation!$A$149,Calculation!C4,"")</f>
        <v/>
      </c>
      <c r="E4" s="52" t="str">
        <f>IF(Calculation!E4=Calculation!$A$149,Calculation!F4,"")</f>
        <v/>
      </c>
      <c r="F4" s="54" t="str">
        <f>IF(Calculation!E4=Calculation!$A$149,Calculation!G4,"")</f>
        <v/>
      </c>
      <c r="G4" s="54" t="str">
        <f>IF(Calculation!E4=Calculation!$A$149,Calculation!H4,"")</f>
        <v/>
      </c>
      <c r="H4" s="55"/>
      <c r="L4" s="106" t="s">
        <v>75</v>
      </c>
      <c r="P4" s="62"/>
      <c r="Q4" s="62"/>
      <c r="R4" s="62"/>
      <c r="S4" s="62"/>
      <c r="T4" s="64"/>
    </row>
    <row r="5">
      <c r="A5" s="52" t="str">
        <f>IF(Calculation!E5=Calculation!$A$149,Calculation!B5,"")</f>
        <v/>
      </c>
      <c r="B5" s="53" t="str">
        <f>IF(Calculation!E5=Calculation!$A$149,Calculation!I5,"")</f>
        <v/>
      </c>
      <c r="C5" s="52" t="str">
        <f>IF(Calculation!E5=Calculation!$A$149,Calculation!D5,"")</f>
        <v/>
      </c>
      <c r="D5" s="52" t="str">
        <f>IF(Calculation!E5=Calculation!$A$149,Calculation!C5,"")</f>
        <v/>
      </c>
      <c r="E5" s="52" t="str">
        <f>IF(Calculation!E5=Calculation!$A$149,Calculation!F5,"")</f>
        <v/>
      </c>
      <c r="F5" s="54" t="str">
        <f>IF(Calculation!E5=Calculation!$A$149,Calculation!G5,"")</f>
        <v/>
      </c>
      <c r="G5" s="54" t="str">
        <f>IF(Calculation!E5=Calculation!$A$149,Calculation!H5,"")</f>
        <v/>
      </c>
      <c r="H5" s="55"/>
      <c r="L5" s="107" t="s">
        <v>76</v>
      </c>
      <c r="P5" s="62"/>
      <c r="Q5" s="62"/>
      <c r="R5" s="62"/>
      <c r="S5" s="62"/>
      <c r="T5" s="64"/>
    </row>
    <row r="6">
      <c r="A6" s="52" t="str">
        <f>IF(Calculation!E6=Calculation!$A$149,Calculation!B6,"")</f>
        <v/>
      </c>
      <c r="B6" s="53" t="str">
        <f>IF(Calculation!E6=Calculation!$A$149,Calculation!I6,"")</f>
        <v/>
      </c>
      <c r="C6" s="52" t="str">
        <f>IF(Calculation!E6=Calculation!$A$149,Calculation!D6,"")</f>
        <v/>
      </c>
      <c r="D6" s="52" t="str">
        <f>IF(Calculation!E6=Calculation!$A$149,Calculation!C6,"")</f>
        <v/>
      </c>
      <c r="E6" s="52" t="str">
        <f>IF(Calculation!E6=Calculation!$A$149,Calculation!F6,"")</f>
        <v/>
      </c>
      <c r="F6" s="54" t="str">
        <f>IF(Calculation!E6=Calculation!$A$149,Calculation!G6,"")</f>
        <v/>
      </c>
      <c r="G6" s="54" t="str">
        <f>IF(Calculation!E6=Calculation!$A$149,Calculation!H6,"")</f>
        <v/>
      </c>
      <c r="H6" s="55"/>
      <c r="L6" s="78" t="s">
        <v>77</v>
      </c>
      <c r="O6" s="72"/>
      <c r="P6" s="69"/>
      <c r="Q6" s="69"/>
      <c r="R6" s="69"/>
      <c r="S6" s="69"/>
      <c r="T6" s="70"/>
    </row>
    <row r="7">
      <c r="A7" s="52" t="str">
        <f>IF(Calculation!E7=Calculation!$A$149,Calculation!B7,"")</f>
        <v/>
      </c>
      <c r="B7" s="53" t="str">
        <f>IF(Calculation!E7=Calculation!$A$149,Calculation!I7,"")</f>
        <v/>
      </c>
      <c r="C7" s="52" t="str">
        <f>IF(Calculation!E7=Calculation!$A$149,Calculation!D7,"")</f>
        <v/>
      </c>
      <c r="D7" s="52" t="str">
        <f>IF(Calculation!E7=Calculation!$A$149,Calculation!C7,"")</f>
        <v/>
      </c>
      <c r="E7" s="52" t="str">
        <f>IF(Calculation!E7=Calculation!$A$149,Calculation!F7,"")</f>
        <v/>
      </c>
      <c r="F7" s="54" t="str">
        <f>IF(Calculation!E7=Calculation!$A$149,Calculation!G7,"")</f>
        <v/>
      </c>
      <c r="G7" s="54" t="str">
        <f>IF(Calculation!E7=Calculation!$A$149,Calculation!H7,"")</f>
        <v/>
      </c>
      <c r="H7" s="55"/>
      <c r="L7" s="62"/>
      <c r="M7" s="62"/>
      <c r="N7" s="62"/>
      <c r="O7" s="62"/>
      <c r="P7" s="62"/>
      <c r="Q7" s="62"/>
      <c r="R7" s="62"/>
      <c r="S7" s="62"/>
      <c r="T7" s="64"/>
    </row>
    <row r="8">
      <c r="A8" s="52" t="str">
        <f>IF(Calculation!E8=Calculation!$A$149,Calculation!B8,"")</f>
        <v/>
      </c>
      <c r="B8" s="53" t="str">
        <f>IF(Calculation!E8=Calculation!$A$149,Calculation!I8,"")</f>
        <v/>
      </c>
      <c r="C8" s="52" t="str">
        <f>IF(Calculation!E8=Calculation!$A$149,Calculation!D8,"")</f>
        <v/>
      </c>
      <c r="D8" s="52" t="str">
        <f>IF(Calculation!E8=Calculation!$A$149,Calculation!C8,"")</f>
        <v/>
      </c>
      <c r="E8" s="52" t="str">
        <f>IF(Calculation!E8=Calculation!$A$149,Calculation!F8,"")</f>
        <v/>
      </c>
      <c r="F8" s="54" t="str">
        <f>IF(Calculation!E8=Calculation!$A$149,Calculation!G8,"")</f>
        <v/>
      </c>
      <c r="G8" s="54" t="str">
        <f>IF(Calculation!E8=Calculation!$A$149,Calculation!H8,"")</f>
        <v/>
      </c>
      <c r="H8" s="55"/>
      <c r="L8" s="108" t="s">
        <v>78</v>
      </c>
      <c r="Q8" s="62"/>
      <c r="R8" s="62"/>
      <c r="S8" s="69"/>
      <c r="T8" s="70"/>
    </row>
    <row r="9">
      <c r="A9" s="52" t="str">
        <f>IF(Calculation!E9=Calculation!$A$149,Calculation!B9,"")</f>
        <v/>
      </c>
      <c r="B9" s="53" t="str">
        <f>IF(Calculation!E9=Calculation!$A$149,Calculation!I9,"")</f>
        <v/>
      </c>
      <c r="C9" s="52" t="str">
        <f>IF(Calculation!E9=Calculation!$A$149,Calculation!D9,"")</f>
        <v/>
      </c>
      <c r="D9" s="52" t="str">
        <f>IF(Calculation!E9=Calculation!$A$149,Calculation!C9,"")</f>
        <v/>
      </c>
      <c r="E9" s="52" t="str">
        <f>IF(Calculation!E9=Calculation!$A$149,Calculation!F9,"")</f>
        <v/>
      </c>
      <c r="F9" s="54" t="str">
        <f>IF(Calculation!E9=Calculation!$A$149,Calculation!G9,"")</f>
        <v/>
      </c>
      <c r="G9" s="54" t="str">
        <f>IF(Calculation!E9=Calculation!$A$149,Calculation!H9,"")</f>
        <v/>
      </c>
      <c r="H9" s="55"/>
      <c r="L9" s="74" t="s">
        <v>58</v>
      </c>
      <c r="O9" s="75">
        <v>45462.0</v>
      </c>
      <c r="Q9" s="62"/>
      <c r="R9" s="62"/>
      <c r="S9" s="69"/>
      <c r="T9" s="70"/>
    </row>
    <row r="10">
      <c r="A10" s="52" t="str">
        <f>IF(Calculation!E10=Calculation!$A$149,Calculation!B10,"")</f>
        <v/>
      </c>
      <c r="B10" s="53" t="str">
        <f>IF(Calculation!E10=Calculation!$A$149,Calculation!I10,"")</f>
        <v/>
      </c>
      <c r="C10" s="52" t="str">
        <f>IF(Calculation!E10=Calculation!$A$149,Calculation!D10,"")</f>
        <v/>
      </c>
      <c r="D10" s="52" t="str">
        <f>IF(Calculation!E10=Calculation!$A$149,Calculation!C10,"")</f>
        <v/>
      </c>
      <c r="E10" s="52" t="str">
        <f>IF(Calculation!E10=Calculation!$A$149,Calculation!F10,"")</f>
        <v/>
      </c>
      <c r="F10" s="54" t="str">
        <f>IF(Calculation!E10=Calculation!$A$149,Calculation!G10,"")</f>
        <v/>
      </c>
      <c r="G10" s="54" t="str">
        <f>IF(Calculation!E10=Calculation!$A$149,Calculation!H10,"")</f>
        <v/>
      </c>
      <c r="H10" s="55"/>
      <c r="L10" s="76"/>
      <c r="O10" s="62"/>
      <c r="Q10" s="62"/>
      <c r="S10" s="69"/>
      <c r="T10" s="70"/>
    </row>
    <row r="11">
      <c r="A11" s="52" t="str">
        <f>IF(Calculation!E11=Calculation!$A$149,Calculation!B11,"")</f>
        <v/>
      </c>
      <c r="B11" s="53" t="str">
        <f>IF(Calculation!E11=Calculation!$A$149,Calculation!I11,"")</f>
        <v/>
      </c>
      <c r="C11" s="52" t="str">
        <f>IF(Calculation!E11=Calculation!$A$149,Calculation!D11,"")</f>
        <v/>
      </c>
      <c r="D11" s="52" t="str">
        <f>IF(Calculation!E11=Calculation!$A$149,Calculation!C11,"")</f>
        <v/>
      </c>
      <c r="E11" s="52" t="str">
        <f>IF(Calculation!E11=Calculation!$A$149,Calculation!F11,"")</f>
        <v/>
      </c>
      <c r="F11" s="54" t="str">
        <f>IF(Calculation!E11=Calculation!$A$149,Calculation!G11,"")</f>
        <v/>
      </c>
      <c r="G11" s="54" t="str">
        <f>IF(Calculation!E11=Calculation!$A$149,Calculation!H11,"")</f>
        <v/>
      </c>
      <c r="H11" s="55"/>
      <c r="L11" s="77" t="s">
        <v>59</v>
      </c>
      <c r="O11" s="77" t="s">
        <v>60</v>
      </c>
      <c r="Q11" s="77" t="s">
        <v>61</v>
      </c>
      <c r="S11" s="69"/>
      <c r="T11" s="70"/>
    </row>
    <row r="12">
      <c r="A12" s="57">
        <f>IF(Calculation!E12=Calculation!$A$149,Calculation!B12,"")</f>
        <v>45463</v>
      </c>
      <c r="B12" s="53" t="str">
        <f>IF(Calculation!E12=Calculation!$A$149,Calculation!I12,"")</f>
        <v/>
      </c>
      <c r="C12" s="52" t="str">
        <f>IF(Calculation!E12=Calculation!$A$149,Calculation!D12,"")</f>
        <v>Anu Shigha</v>
      </c>
      <c r="D12" s="52" t="str">
        <f>IF(Calculation!E12=Calculation!$A$149,Calculation!C12,"")</f>
        <v>Poster Design</v>
      </c>
      <c r="E12" s="52">
        <f>IF(Calculation!E12=Calculation!$A$149,Calculation!F12,"")</f>
        <v>5</v>
      </c>
      <c r="F12" s="54">
        <f>IF(Calculation!E12=Calculation!$A$149,Calculation!G12,"")</f>
        <v>44</v>
      </c>
      <c r="G12" s="54">
        <f>IF(Calculation!E12=Calculation!$A$149,Calculation!H12,"")</f>
        <v>220</v>
      </c>
      <c r="H12" s="55"/>
      <c r="L12" s="78" t="str">
        <f>Calculation!A149</f>
        <v>Achu</v>
      </c>
      <c r="O12" s="78" t="str">
        <f>Calculation!A149</f>
        <v>Achu</v>
      </c>
      <c r="Q12" s="79">
        <v>123456.0</v>
      </c>
      <c r="S12" s="69"/>
      <c r="T12" s="70"/>
    </row>
    <row r="13">
      <c r="A13" s="52" t="str">
        <f>IF(Calculation!E13=Calculation!$A$149,Calculation!B13,"")</f>
        <v/>
      </c>
      <c r="B13" s="53" t="str">
        <f>IF(Calculation!E13=Calculation!$A$149,Calculation!I13,"")</f>
        <v/>
      </c>
      <c r="C13" s="52" t="str">
        <f>IF(Calculation!E13=Calculation!$A$149,Calculation!D13,"")</f>
        <v/>
      </c>
      <c r="D13" s="52" t="str">
        <f>IF(Calculation!E13=Calculation!$A$149,Calculation!C13,"")</f>
        <v/>
      </c>
      <c r="E13" s="52" t="str">
        <f>IF(Calculation!E13=Calculation!$A$149,Calculation!F13,"")</f>
        <v/>
      </c>
      <c r="F13" s="54" t="str">
        <f>IF(Calculation!E13=Calculation!$A$149,Calculation!G13,"")</f>
        <v/>
      </c>
      <c r="G13" s="54" t="str">
        <f>IF(Calculation!E13=Calculation!$A$149,Calculation!H13,"")</f>
        <v/>
      </c>
      <c r="H13" s="55"/>
      <c r="L13" s="78" t="s">
        <v>62</v>
      </c>
      <c r="O13" s="72"/>
      <c r="Q13" s="62"/>
      <c r="S13" s="69"/>
      <c r="T13" s="70"/>
    </row>
    <row r="14">
      <c r="A14" s="52" t="str">
        <f>IF(Calculation!E14=Calculation!$A$149,Calculation!B14,"")</f>
        <v/>
      </c>
      <c r="B14" s="53" t="str">
        <f>IF(Calculation!E14=Calculation!$A$149,Calculation!I14,"")</f>
        <v/>
      </c>
      <c r="C14" s="52" t="str">
        <f>IF(Calculation!E14=Calculation!$A$149,Calculation!D14,"")</f>
        <v/>
      </c>
      <c r="D14" s="52" t="str">
        <f>IF(Calculation!E14=Calculation!$A$149,Calculation!C14,"")</f>
        <v/>
      </c>
      <c r="E14" s="52" t="str">
        <f>IF(Calculation!E14=Calculation!$A$149,Calculation!F14,"")</f>
        <v/>
      </c>
      <c r="F14" s="54" t="str">
        <f>IF(Calculation!E14=Calculation!$A$149,Calculation!G14,"")</f>
        <v/>
      </c>
      <c r="G14" s="54" t="str">
        <f>IF(Calculation!E14=Calculation!$A$149,Calculation!H14,"")</f>
        <v/>
      </c>
      <c r="H14" s="55"/>
      <c r="L14" s="78" t="s">
        <v>63</v>
      </c>
      <c r="O14" s="80" t="s">
        <v>64</v>
      </c>
      <c r="Q14" s="80" t="s">
        <v>65</v>
      </c>
      <c r="S14" s="69"/>
      <c r="T14" s="70"/>
    </row>
    <row r="15">
      <c r="A15" s="52" t="str">
        <f>IF(Calculation!E15=Calculation!$A$149,Calculation!B15,"")</f>
        <v/>
      </c>
      <c r="B15" s="53" t="str">
        <f>IF(Calculation!E15=Calculation!$A$149,Calculation!I15,"")</f>
        <v/>
      </c>
      <c r="C15" s="52" t="str">
        <f>IF(Calculation!E15=Calculation!$A$149,Calculation!D15,"")</f>
        <v/>
      </c>
      <c r="D15" s="52" t="str">
        <f>IF(Calculation!E15=Calculation!$A$149,Calculation!C15,"")</f>
        <v/>
      </c>
      <c r="E15" s="52" t="str">
        <f>IF(Calculation!E15=Calculation!$A$149,Calculation!F15,"")</f>
        <v/>
      </c>
      <c r="F15" s="54" t="str">
        <f>IF(Calculation!E15=Calculation!$A$149,Calculation!G15,"")</f>
        <v/>
      </c>
      <c r="G15" s="54" t="str">
        <f>IF(Calculation!E15=Calculation!$A$149,Calculation!H15,"")</f>
        <v/>
      </c>
      <c r="H15" s="55"/>
      <c r="L15" s="78" t="s">
        <v>66</v>
      </c>
      <c r="O15" s="78" t="s">
        <v>67</v>
      </c>
      <c r="Q15" s="75">
        <v>36531.0</v>
      </c>
      <c r="S15" s="69"/>
      <c r="T15" s="70"/>
    </row>
    <row r="16">
      <c r="A16" s="52" t="str">
        <f>IF(Calculation!E16=Calculation!$A$149,Calculation!B16,"")</f>
        <v/>
      </c>
      <c r="B16" s="53" t="str">
        <f>IF(Calculation!E16=Calculation!$A$149,Calculation!I16,"")</f>
        <v/>
      </c>
      <c r="C16" s="52" t="str">
        <f>IF(Calculation!E16=Calculation!$A$149,Calculation!D16,"")</f>
        <v/>
      </c>
      <c r="D16" s="52" t="str">
        <f>IF(Calculation!E16=Calculation!$A$149,Calculation!C16,"")</f>
        <v/>
      </c>
      <c r="E16" s="52" t="str">
        <f>IF(Calculation!E16=Calculation!$A$149,Calculation!F16,"")</f>
        <v/>
      </c>
      <c r="F16" s="54" t="str">
        <f>IF(Calculation!E16=Calculation!$A$149,Calculation!G16,"")</f>
        <v/>
      </c>
      <c r="G16" s="54" t="str">
        <f>IF(Calculation!E16=Calculation!$A$149,Calculation!H16,"")</f>
        <v/>
      </c>
      <c r="H16" s="55"/>
      <c r="L16" s="81"/>
      <c r="M16" s="82"/>
      <c r="N16" s="82"/>
      <c r="O16" s="81"/>
      <c r="P16" s="82"/>
      <c r="Q16" s="81"/>
      <c r="R16" s="82"/>
      <c r="S16" s="62"/>
      <c r="T16" s="64"/>
    </row>
    <row r="17">
      <c r="A17" s="52" t="str">
        <f>IF(Calculation!E17=Calculation!$A$149,Calculation!B17,"")</f>
        <v/>
      </c>
      <c r="B17" s="53" t="str">
        <f>IF(Calculation!E17=Calculation!$A$149,Calculation!I17,"")</f>
        <v/>
      </c>
      <c r="C17" s="52" t="str">
        <f>IF(Calculation!E17=Calculation!$A$149,Calculation!D17,"")</f>
        <v/>
      </c>
      <c r="D17" s="52" t="str">
        <f>IF(Calculation!E17=Calculation!$A$149,Calculation!C17,"")</f>
        <v/>
      </c>
      <c r="E17" s="52" t="str">
        <f>IF(Calculation!E17=Calculation!$A$149,Calculation!F17,"")</f>
        <v/>
      </c>
      <c r="F17" s="54" t="str">
        <f>IF(Calculation!E17=Calculation!$A$149,Calculation!G17,"")</f>
        <v/>
      </c>
      <c r="G17" s="54" t="str">
        <f>IF(Calculation!E17=Calculation!$A$149,Calculation!H17,"")</f>
        <v/>
      </c>
      <c r="H17" s="55"/>
      <c r="L17" s="62"/>
      <c r="M17" s="62"/>
      <c r="N17" s="62"/>
      <c r="O17" s="62"/>
      <c r="P17" s="69"/>
      <c r="Q17" s="62"/>
      <c r="R17" s="62"/>
      <c r="S17" s="69"/>
      <c r="T17" s="70"/>
    </row>
    <row r="18">
      <c r="A18" s="52" t="str">
        <f>IF(Calculation!E18=Calculation!$A$149,Calculation!B18,"")</f>
        <v/>
      </c>
      <c r="B18" s="53" t="str">
        <f>IF(Calculation!E18=Calculation!$A$149,Calculation!I18,"")</f>
        <v/>
      </c>
      <c r="C18" s="52" t="str">
        <f>IF(Calculation!E18=Calculation!$A$149,Calculation!D18,"")</f>
        <v/>
      </c>
      <c r="D18" s="52" t="str">
        <f>IF(Calculation!E18=Calculation!$A$149,Calculation!C18,"")</f>
        <v/>
      </c>
      <c r="E18" s="52" t="str">
        <f>IF(Calculation!E18=Calculation!$A$149,Calculation!F18,"")</f>
        <v/>
      </c>
      <c r="F18" s="54" t="str">
        <f>IF(Calculation!E18=Calculation!$A$149,Calculation!G18,"")</f>
        <v/>
      </c>
      <c r="G18" s="54" t="str">
        <f>IF(Calculation!E18=Calculation!$A$149,Calculation!H18,"")</f>
        <v/>
      </c>
      <c r="H18" s="55"/>
      <c r="L18" s="83" t="s">
        <v>68</v>
      </c>
      <c r="P18" s="84" t="s">
        <v>49</v>
      </c>
      <c r="Q18" s="84" t="s">
        <v>69</v>
      </c>
      <c r="R18" s="84" t="s">
        <v>70</v>
      </c>
      <c r="S18" s="69"/>
      <c r="T18" s="70"/>
    </row>
    <row r="19" ht="23.25" customHeight="1">
      <c r="A19" s="52" t="str">
        <f>IF(Calculation!E19=Calculation!$A$149,Calculation!B19,"")</f>
        <v/>
      </c>
      <c r="B19" s="53" t="str">
        <f>IF(Calculation!E19=Calculation!$A$149,Calculation!I19,"")</f>
        <v/>
      </c>
      <c r="C19" s="52" t="str">
        <f>IF(Calculation!E19=Calculation!$A$149,Calculation!D19,"")</f>
        <v/>
      </c>
      <c r="D19" s="52" t="str">
        <f>IF(Calculation!E19=Calculation!$A$149,Calculation!C19,"")</f>
        <v/>
      </c>
      <c r="E19" s="52" t="str">
        <f>IF(Calculation!E19=Calculation!$A$149,Calculation!F19,"")</f>
        <v/>
      </c>
      <c r="F19" s="54" t="str">
        <f>IF(Calculation!E19=Calculation!$A$149,Calculation!G19,"")</f>
        <v/>
      </c>
      <c r="G19" s="54" t="str">
        <f>IF(Calculation!E19=Calculation!$A$149,Calculation!H19,"")</f>
        <v/>
      </c>
      <c r="H19" s="55"/>
      <c r="L19" s="85" t="s">
        <v>34</v>
      </c>
      <c r="P19" s="86">
        <f>SUMIFS(Calculation!$F$3:$F$125,Calculation!$C$3:$C$125,"Short Video Design",Calculation!$E$3:$E$125,Calculation!A149)</f>
        <v>4</v>
      </c>
      <c r="Q19" s="121">
        <f>(Calculation!B149)</f>
        <v>35</v>
      </c>
      <c r="R19" s="122">
        <f t="shared" ref="R19:R23" si="1">product(P19,Q19)</f>
        <v>140</v>
      </c>
      <c r="S19" s="69"/>
      <c r="T19" s="70"/>
    </row>
    <row r="20" ht="18.0" customHeight="1">
      <c r="A20" s="52" t="str">
        <f>IF(Calculation!E20=Calculation!$A$149,Calculation!B20,"")</f>
        <v/>
      </c>
      <c r="B20" s="53" t="str">
        <f>IF(Calculation!E20=Calculation!$A$149,Calculation!I20,"")</f>
        <v/>
      </c>
      <c r="C20" s="52" t="str">
        <f>IF(Calculation!E20=Calculation!$A$149,Calculation!D20,"")</f>
        <v/>
      </c>
      <c r="D20" s="52" t="str">
        <f>IF(Calculation!E20=Calculation!$A$149,Calculation!C20,"")</f>
        <v/>
      </c>
      <c r="E20" s="52" t="str">
        <f>IF(Calculation!E20=Calculation!$A$149,Calculation!F20,"")</f>
        <v/>
      </c>
      <c r="F20" s="54" t="str">
        <f>IF(Calculation!E20=Calculation!$A$149,Calculation!G20,"")</f>
        <v/>
      </c>
      <c r="G20" s="54" t="str">
        <f>IF(Calculation!E20=Calculation!$A$149,Calculation!H20,"")</f>
        <v/>
      </c>
      <c r="H20" s="55"/>
      <c r="L20" s="89" t="s">
        <v>35</v>
      </c>
      <c r="P20" s="86">
        <f>SUMIFS(Calculation!$F$3:$F$125,Calculation!$C$3:$C$125,"Long Video Design",Calculation!$E$3:$E$125,Calculation!A149)</f>
        <v>0</v>
      </c>
      <c r="Q20" s="121">
        <f>(Calculation!C149)</f>
        <v>20</v>
      </c>
      <c r="R20" s="123">
        <f t="shared" si="1"/>
        <v>0</v>
      </c>
      <c r="S20" s="69"/>
      <c r="T20" s="70"/>
    </row>
    <row r="21" ht="21.0" customHeight="1">
      <c r="A21" s="52" t="str">
        <f>IF(Calculation!E21=Calculation!$A$149,Calculation!B21,"")</f>
        <v/>
      </c>
      <c r="B21" s="53" t="str">
        <f>IF(Calculation!E21=Calculation!$A$149,Calculation!I21,"")</f>
        <v/>
      </c>
      <c r="C21" s="52" t="str">
        <f>IF(Calculation!E21=Calculation!$A$149,Calculation!D21,"")</f>
        <v/>
      </c>
      <c r="D21" s="52" t="str">
        <f>IF(Calculation!E21=Calculation!$A$149,Calculation!C21,"")</f>
        <v/>
      </c>
      <c r="E21" s="52" t="str">
        <f>IF(Calculation!E21=Calculation!$A$149,Calculation!F21,"")</f>
        <v/>
      </c>
      <c r="F21" s="54" t="str">
        <f>IF(Calculation!E21=Calculation!$A$149,Calculation!G21,"")</f>
        <v/>
      </c>
      <c r="G21" s="54" t="str">
        <f>IF(Calculation!E21=Calculation!$A$149,Calculation!H21,"")</f>
        <v/>
      </c>
      <c r="H21" s="55"/>
      <c r="L21" s="91" t="s">
        <v>25</v>
      </c>
      <c r="P21" s="86">
        <f>SUMIFS(Calculation!$F$3:$F$125,Calculation!$C$3:$C$125,"Content for Poster",Calculation!$E$3:$E$125,Calculation!A149)</f>
        <v>0</v>
      </c>
      <c r="Q21" s="121">
        <f>(Calculation!D149)</f>
        <v>44</v>
      </c>
      <c r="R21" s="122">
        <f t="shared" si="1"/>
        <v>0</v>
      </c>
      <c r="S21" s="69"/>
      <c r="T21" s="70"/>
    </row>
    <row r="22" ht="21.0" customHeight="1">
      <c r="A22" s="52" t="str">
        <f>IF(Calculation!E22=Calculation!$A$149,Calculation!B22,"")</f>
        <v/>
      </c>
      <c r="B22" s="53" t="str">
        <f>IF(Calculation!E22=Calculation!$A$149,Calculation!I22,"")</f>
        <v/>
      </c>
      <c r="C22" s="52" t="str">
        <f>IF(Calculation!E22=Calculation!$A$149,Calculation!D22,"")</f>
        <v/>
      </c>
      <c r="D22" s="52" t="str">
        <f>IF(Calculation!E22=Calculation!$A$149,Calculation!C22,"")</f>
        <v/>
      </c>
      <c r="E22" s="52" t="str">
        <f>IF(Calculation!E22=Calculation!$A$149,Calculation!F22,"")</f>
        <v/>
      </c>
      <c r="F22" s="54" t="str">
        <f>IF(Calculation!E22=Calculation!$A$149,Calculation!G22,"")</f>
        <v/>
      </c>
      <c r="G22" s="54" t="str">
        <f>IF(Calculation!E22=Calculation!$A$149,Calculation!H22,"")</f>
        <v/>
      </c>
      <c r="H22" s="55"/>
      <c r="L22" s="92" t="s">
        <v>36</v>
      </c>
      <c r="P22" s="86">
        <f>SUMIFS(Calculation!$F$3:$F$125,Calculation!$C$3:$C$125,"Content for Video",Calculation!$E$3:$E$125,Calculation!A149)</f>
        <v>0</v>
      </c>
      <c r="Q22" s="121">
        <f>(Calculation!E149)</f>
        <v>65</v>
      </c>
      <c r="R22" s="123">
        <f t="shared" si="1"/>
        <v>0</v>
      </c>
      <c r="S22" s="69"/>
      <c r="T22" s="70"/>
    </row>
    <row r="23" ht="20.25" customHeight="1">
      <c r="A23" s="52" t="str">
        <f>IF(Calculation!E23=Calculation!$A$149,Calculation!B23,"")</f>
        <v/>
      </c>
      <c r="B23" s="53" t="str">
        <f>IF(Calculation!E23=Calculation!$A$149,Calculation!I23,"")</f>
        <v/>
      </c>
      <c r="C23" s="52" t="str">
        <f>IF(Calculation!E23=Calculation!$A$149,Calculation!D23,"")</f>
        <v/>
      </c>
      <c r="D23" s="52" t="str">
        <f>IF(Calculation!E23=Calculation!$A$149,Calculation!C23,"")</f>
        <v/>
      </c>
      <c r="E23" s="52" t="str">
        <f>IF(Calculation!E23=Calculation!$A$149,Calculation!F23,"")</f>
        <v/>
      </c>
      <c r="F23" s="54" t="str">
        <f>IF(Calculation!E23=Calculation!$A$149,Calculation!G23,"")</f>
        <v/>
      </c>
      <c r="G23" s="54" t="str">
        <f>IF(Calculation!E23=Calculation!$A$149,Calculation!H23,"")</f>
        <v/>
      </c>
      <c r="H23" s="55"/>
      <c r="L23" s="93" t="s">
        <v>16</v>
      </c>
      <c r="M23" s="93"/>
      <c r="N23" s="94"/>
      <c r="O23" s="94"/>
      <c r="P23" s="86">
        <f>SUMIFS(Calculation!$F$3:$F$125,Calculation!$C$3:$C$125,"Poster Design",Calculation!$E$3:$E$125,Calculation!A149)</f>
        <v>5</v>
      </c>
      <c r="Q23" s="124">
        <f>(Calculation!F149)</f>
        <v>44</v>
      </c>
      <c r="R23" s="125">
        <f t="shared" si="1"/>
        <v>220</v>
      </c>
      <c r="S23" s="69"/>
      <c r="T23" s="70"/>
    </row>
    <row r="24">
      <c r="A24" s="52" t="str">
        <f>IF(Calculation!E24=Calculation!$A$149,Calculation!B24,"")</f>
        <v/>
      </c>
      <c r="B24" s="53" t="str">
        <f>IF(Calculation!E24=Calculation!$A$149,Calculation!I24,"")</f>
        <v/>
      </c>
      <c r="C24" s="52" t="str">
        <f>IF(Calculation!E24=Calculation!$A$149,Calculation!D24,"")</f>
        <v/>
      </c>
      <c r="D24" s="52" t="str">
        <f>IF(Calculation!E24=Calculation!$A$149,Calculation!C24,"")</f>
        <v/>
      </c>
      <c r="E24" s="52" t="str">
        <f>IF(Calculation!E24=Calculation!$A$149,Calculation!F24,"")</f>
        <v/>
      </c>
      <c r="F24" s="54" t="str">
        <f>IF(Calculation!E24=Calculation!$A$149,Calculation!G24,"")</f>
        <v/>
      </c>
      <c r="G24" s="54" t="str">
        <f>IF(Calculation!E24=Calculation!$A$149,Calculation!H24,"")</f>
        <v/>
      </c>
      <c r="H24" s="55"/>
      <c r="L24" s="97" t="s">
        <v>71</v>
      </c>
      <c r="M24" s="97"/>
      <c r="N24" s="62"/>
      <c r="Q24" s="98" t="s">
        <v>72</v>
      </c>
      <c r="R24" s="99">
        <f>sum(R19:R23)</f>
        <v>360</v>
      </c>
      <c r="S24" s="62"/>
      <c r="T24" s="64"/>
    </row>
    <row r="25">
      <c r="A25" s="52" t="str">
        <f>IF(Calculation!E25=Calculation!$A$149,Calculation!B25,"")</f>
        <v/>
      </c>
      <c r="B25" s="53" t="str">
        <f>IF(Calculation!E25=Calculation!$A$149,Calculation!I25,"")</f>
        <v/>
      </c>
      <c r="C25" s="52" t="str">
        <f>IF(Calculation!E25=Calculation!$A$149,Calculation!D25,"")</f>
        <v/>
      </c>
      <c r="D25" s="52" t="str">
        <f>IF(Calculation!E25=Calculation!$A$149,Calculation!C25,"")</f>
        <v/>
      </c>
      <c r="E25" s="52" t="str">
        <f>IF(Calculation!E25=Calculation!$A$149,Calculation!F25,"")</f>
        <v/>
      </c>
      <c r="F25" s="54" t="str">
        <f>IF(Calculation!E25=Calculation!$A$149,Calculation!G25,"")</f>
        <v/>
      </c>
      <c r="G25" s="54" t="str">
        <f>IF(Calculation!E25=Calculation!$A$149,Calculation!H25,"")</f>
        <v/>
      </c>
      <c r="H25" s="55"/>
      <c r="L25" s="62"/>
      <c r="M25" s="62"/>
      <c r="N25" s="62"/>
      <c r="Q25" s="98" t="s">
        <v>73</v>
      </c>
      <c r="R25" s="100">
        <v>0.0</v>
      </c>
      <c r="S25" s="62"/>
      <c r="T25" s="64"/>
    </row>
    <row r="26">
      <c r="A26" s="52" t="str">
        <f>IF(Calculation!E26=Calculation!$A$149,Calculation!B26,"")</f>
        <v/>
      </c>
      <c r="B26" s="53" t="str">
        <f>IF(Calculation!E26=Calculation!$A$149,Calculation!I26,"")</f>
        <v/>
      </c>
      <c r="C26" s="52" t="str">
        <f>IF(Calculation!E26=Calculation!$A$149,Calculation!D26,"")</f>
        <v/>
      </c>
      <c r="D26" s="52" t="str">
        <f>IF(Calculation!E26=Calculation!$A$149,Calculation!C26,"")</f>
        <v/>
      </c>
      <c r="E26" s="52" t="str">
        <f>IF(Calculation!E26=Calculation!$A$149,Calculation!F26,"")</f>
        <v/>
      </c>
      <c r="F26" s="54" t="str">
        <f>IF(Calculation!E26=Calculation!$A$149,Calculation!G26,"")</f>
        <v/>
      </c>
      <c r="G26" s="54" t="str">
        <f>IF(Calculation!E26=Calculation!$A$149,Calculation!H26,"")</f>
        <v/>
      </c>
      <c r="H26" s="55"/>
      <c r="L26" s="69"/>
      <c r="M26" s="69"/>
      <c r="N26" s="69"/>
      <c r="O26" s="69"/>
      <c r="P26" s="69"/>
      <c r="Q26" s="101">
        <f>sum(R24,R25)</f>
        <v>360</v>
      </c>
      <c r="S26" s="69"/>
      <c r="T26" s="70"/>
    </row>
    <row r="27">
      <c r="A27" s="52" t="str">
        <f>IF(Calculation!E27=Calculation!$A$149,Calculation!B27,"")</f>
        <v/>
      </c>
      <c r="B27" s="53" t="str">
        <f>IF(Calculation!E27=Calculation!$A$149,Calculation!I27,"")</f>
        <v/>
      </c>
      <c r="C27" s="52" t="str">
        <f>IF(Calculation!E27=Calculation!$A$149,Calculation!D27,"")</f>
        <v/>
      </c>
      <c r="D27" s="52" t="str">
        <f>IF(Calculation!E27=Calculation!$A$149,Calculation!C27,"")</f>
        <v/>
      </c>
      <c r="E27" s="52" t="str">
        <f>IF(Calculation!E27=Calculation!$A$149,Calculation!F27,"")</f>
        <v/>
      </c>
      <c r="F27" s="54" t="str">
        <f>IF(Calculation!E27=Calculation!$A$149,Calculation!G27,"")</f>
        <v/>
      </c>
      <c r="G27" s="54" t="str">
        <f>IF(Calculation!E27=Calculation!$A$149,Calculation!H27,"")</f>
        <v/>
      </c>
      <c r="H27" s="55"/>
      <c r="L27" s="102"/>
      <c r="M27" s="102"/>
      <c r="N27" s="69"/>
      <c r="O27" s="69"/>
      <c r="P27" s="69"/>
      <c r="Q27" s="69"/>
      <c r="R27" s="69"/>
      <c r="S27" s="69"/>
      <c r="T27" s="70"/>
    </row>
    <row r="28">
      <c r="A28" s="52" t="str">
        <f>IF(Calculation!E28=Calculation!$A$149,Calculation!B28,"")</f>
        <v/>
      </c>
      <c r="B28" s="53" t="str">
        <f>IF(Calculation!E28=Calculation!$A$149,Calculation!I28,"")</f>
        <v/>
      </c>
      <c r="C28" s="52" t="str">
        <f>IF(Calculation!E28=Calculation!$A$149,Calculation!D28,"")</f>
        <v/>
      </c>
      <c r="D28" s="52" t="str">
        <f>IF(Calculation!E28=Calculation!$A$149,Calculation!C28,"")</f>
        <v/>
      </c>
      <c r="E28" s="52" t="str">
        <f>IF(Calculation!E28=Calculation!$A$149,Calculation!F28,"")</f>
        <v/>
      </c>
      <c r="F28" s="54" t="str">
        <f>IF(Calculation!E28=Calculation!$A$149,Calculation!G28,"")</f>
        <v/>
      </c>
      <c r="G28" s="54" t="str">
        <f>IF(Calculation!E28=Calculation!$A$149,Calculation!H28,"")</f>
        <v/>
      </c>
      <c r="H28" s="55"/>
      <c r="T28" s="103"/>
    </row>
    <row r="29">
      <c r="A29" s="52" t="str">
        <f>IF(Calculation!E29=Calculation!$A$149,Calculation!B29,"")</f>
        <v/>
      </c>
      <c r="B29" s="53" t="str">
        <f>IF(Calculation!E29=Calculation!$A$149,Calculation!I29,"")</f>
        <v/>
      </c>
      <c r="C29" s="52" t="str">
        <f>IF(Calculation!E29=Calculation!$A$149,Calculation!D29,"")</f>
        <v/>
      </c>
      <c r="D29" s="52" t="str">
        <f>IF(Calculation!E29=Calculation!$A$149,Calculation!C29,"")</f>
        <v/>
      </c>
      <c r="E29" s="52" t="str">
        <f>IF(Calculation!E29=Calculation!$A$149,Calculation!F29,"")</f>
        <v/>
      </c>
      <c r="F29" s="54" t="str">
        <f>IF(Calculation!E29=Calculation!$A$149,Calculation!G29,"")</f>
        <v/>
      </c>
      <c r="G29" s="54" t="str">
        <f>IF(Calculation!E29=Calculation!$A$149,Calculation!H29,"")</f>
        <v/>
      </c>
      <c r="H29" s="55"/>
      <c r="T29" s="103"/>
    </row>
    <row r="30">
      <c r="A30" s="52" t="str">
        <f>IF(Calculation!E30=Calculation!$A$149,Calculation!B30,"")</f>
        <v/>
      </c>
      <c r="B30" s="53" t="str">
        <f>IF(Calculation!E30=Calculation!$A$149,Calculation!I30,"")</f>
        <v/>
      </c>
      <c r="C30" s="52" t="str">
        <f>IF(Calculation!E30=Calculation!$A$149,Calculation!D30,"")</f>
        <v/>
      </c>
      <c r="D30" s="52" t="str">
        <f>IF(Calculation!E30=Calculation!$A$149,Calculation!C30,"")</f>
        <v/>
      </c>
      <c r="E30" s="52" t="str">
        <f>IF(Calculation!E30=Calculation!$A$149,Calculation!F30,"")</f>
        <v/>
      </c>
      <c r="F30" s="54" t="str">
        <f>IF(Calculation!E30=Calculation!$A$149,Calculation!G30,"")</f>
        <v/>
      </c>
      <c r="G30" s="54" t="str">
        <f>IF(Calculation!E30=Calculation!$A$149,Calculation!H30,"")</f>
        <v/>
      </c>
      <c r="H30" s="55"/>
      <c r="T30" s="103"/>
    </row>
    <row r="31">
      <c r="A31" s="52" t="str">
        <f>IF(Calculation!E31=Calculation!$A$149,Calculation!B31,"")</f>
        <v/>
      </c>
      <c r="B31" s="53" t="str">
        <f>IF(Calculation!E31=Calculation!$A$149,Calculation!I31,"")</f>
        <v/>
      </c>
      <c r="C31" s="52" t="str">
        <f>IF(Calculation!E31=Calculation!$A$149,Calculation!D31,"")</f>
        <v/>
      </c>
      <c r="D31" s="52" t="str">
        <f>IF(Calculation!E31=Calculation!$A$149,Calculation!C31,"")</f>
        <v/>
      </c>
      <c r="E31" s="52" t="str">
        <f>IF(Calculation!E31=Calculation!$A$149,Calculation!F31,"")</f>
        <v/>
      </c>
      <c r="F31" s="54" t="str">
        <f>IF(Calculation!E31=Calculation!$A$149,Calculation!G31,"")</f>
        <v/>
      </c>
      <c r="G31" s="54" t="str">
        <f>IF(Calculation!E31=Calculation!$A$149,Calculation!H31,"")</f>
        <v/>
      </c>
      <c r="H31" s="55"/>
      <c r="T31" s="103"/>
    </row>
    <row r="32">
      <c r="A32" s="52" t="str">
        <f>IF(Calculation!E32=Calculation!$A$149,Calculation!B32,"")</f>
        <v/>
      </c>
      <c r="B32" s="53" t="str">
        <f>IF(Calculation!E32=Calculation!$A$149,Calculation!I32,"")</f>
        <v/>
      </c>
      <c r="C32" s="52" t="str">
        <f>IF(Calculation!E32=Calculation!$A$149,Calculation!D32,"")</f>
        <v/>
      </c>
      <c r="D32" s="52" t="str">
        <f>IF(Calculation!E32=Calculation!$A$149,Calculation!C32,"")</f>
        <v/>
      </c>
      <c r="E32" s="52" t="str">
        <f>IF(Calculation!E32=Calculation!$A$149,Calculation!F32,"")</f>
        <v/>
      </c>
      <c r="F32" s="54" t="str">
        <f>IF(Calculation!E32=Calculation!$A$149,Calculation!G32,"")</f>
        <v/>
      </c>
      <c r="G32" s="54" t="str">
        <f>IF(Calculation!E32=Calculation!$A$149,Calculation!H32,"")</f>
        <v/>
      </c>
      <c r="H32" s="55"/>
      <c r="T32" s="103"/>
    </row>
    <row r="33">
      <c r="A33" s="52" t="str">
        <f>IF(Calculation!E33=Calculation!$A$149,Calculation!B33,"")</f>
        <v/>
      </c>
      <c r="B33" s="53" t="str">
        <f>IF(Calculation!E33=Calculation!$A$149,Calculation!I33,"")</f>
        <v/>
      </c>
      <c r="C33" s="52" t="str">
        <f>IF(Calculation!E33=Calculation!$A$149,Calculation!D33,"")</f>
        <v/>
      </c>
      <c r="D33" s="52" t="str">
        <f>IF(Calculation!E33=Calculation!$A$149,Calculation!C33,"")</f>
        <v/>
      </c>
      <c r="E33" s="52" t="str">
        <f>IF(Calculation!E33=Calculation!$A$149,Calculation!F33,"")</f>
        <v/>
      </c>
      <c r="F33" s="54" t="str">
        <f>IF(Calculation!E33=Calculation!$A$149,Calculation!G33,"")</f>
        <v/>
      </c>
      <c r="G33" s="54" t="str">
        <f>IF(Calculation!E33=Calculation!$A$149,Calculation!H33,"")</f>
        <v/>
      </c>
      <c r="H33" s="55"/>
      <c r="T33" s="103"/>
    </row>
    <row r="34">
      <c r="A34" s="52" t="str">
        <f>IF(Calculation!E34=Calculation!$A$149,Calculation!B34,"")</f>
        <v/>
      </c>
      <c r="B34" s="53" t="str">
        <f>IF(Calculation!E34=Calculation!$A$149,Calculation!I34,"")</f>
        <v/>
      </c>
      <c r="C34" s="52" t="str">
        <f>IF(Calculation!E34=Calculation!$A$149,Calculation!D34,"")</f>
        <v/>
      </c>
      <c r="D34" s="52" t="str">
        <f>IF(Calculation!E34=Calculation!$A$149,Calculation!C34,"")</f>
        <v/>
      </c>
      <c r="E34" s="52" t="str">
        <f>IF(Calculation!E34=Calculation!$A$149,Calculation!F34,"")</f>
        <v/>
      </c>
      <c r="F34" s="54" t="str">
        <f>IF(Calculation!E34=Calculation!$A$149,Calculation!G34,"")</f>
        <v/>
      </c>
      <c r="G34" s="54" t="str">
        <f>IF(Calculation!E34=Calculation!$A$149,Calculation!H34,"")</f>
        <v/>
      </c>
      <c r="H34" s="55"/>
      <c r="T34" s="103"/>
    </row>
    <row r="35">
      <c r="A35" s="52" t="str">
        <f>IF(Calculation!E35=Calculation!$A$149,Calculation!B35,"")</f>
        <v/>
      </c>
      <c r="B35" s="53" t="str">
        <f>IF(Calculation!E35=Calculation!$A$149,Calculation!I35,"")</f>
        <v/>
      </c>
      <c r="C35" s="52" t="str">
        <f>IF(Calculation!E35=Calculation!$A$149,Calculation!D35,"")</f>
        <v/>
      </c>
      <c r="D35" s="52" t="str">
        <f>IF(Calculation!E35=Calculation!$A$149,Calculation!C35,"")</f>
        <v/>
      </c>
      <c r="E35" s="52" t="str">
        <f>IF(Calculation!E35=Calculation!$A$149,Calculation!F35,"")</f>
        <v/>
      </c>
      <c r="F35" s="54" t="str">
        <f>IF(Calculation!E35=Calculation!$A$149,Calculation!G35,"")</f>
        <v/>
      </c>
      <c r="G35" s="54" t="str">
        <f>IF(Calculation!E35=Calculation!$A$149,Calculation!H35,"")</f>
        <v/>
      </c>
      <c r="H35" s="55"/>
      <c r="T35" s="103"/>
    </row>
    <row r="36">
      <c r="A36" s="52" t="str">
        <f>IF(Calculation!E36=Calculation!$A$149,Calculation!B36,"")</f>
        <v/>
      </c>
      <c r="B36" s="53" t="str">
        <f>IF(Calculation!E36=Calculation!$A$149,Calculation!I36,"")</f>
        <v/>
      </c>
      <c r="C36" s="52" t="str">
        <f>IF(Calculation!E36=Calculation!$A$149,Calculation!D36,"")</f>
        <v/>
      </c>
      <c r="D36" s="52" t="str">
        <f>IF(Calculation!E36=Calculation!$A$149,Calculation!C36,"")</f>
        <v/>
      </c>
      <c r="E36" s="52" t="str">
        <f>IF(Calculation!E36=Calculation!$A$149,Calculation!F36,"")</f>
        <v/>
      </c>
      <c r="F36" s="54" t="str">
        <f>IF(Calculation!E36=Calculation!$A$149,Calculation!G36,"")</f>
        <v/>
      </c>
      <c r="G36" s="54" t="str">
        <f>IF(Calculation!E36=Calculation!$A$149,Calculation!H36,"")</f>
        <v/>
      </c>
      <c r="H36" s="55"/>
      <c r="T36" s="103"/>
    </row>
    <row r="37">
      <c r="A37" s="52" t="str">
        <f>IF(Calculation!E37=Calculation!$A$149,Calculation!B37,"")</f>
        <v/>
      </c>
      <c r="B37" s="53" t="str">
        <f>IF(Calculation!E37=Calculation!$A$149,Calculation!I37,"")</f>
        <v/>
      </c>
      <c r="C37" s="52" t="str">
        <f>IF(Calculation!E37=Calculation!$A$149,Calculation!D37,"")</f>
        <v/>
      </c>
      <c r="D37" s="52" t="str">
        <f>IF(Calculation!E37=Calculation!$A$149,Calculation!C37,"")</f>
        <v/>
      </c>
      <c r="E37" s="52" t="str">
        <f>IF(Calculation!E37=Calculation!$A$149,Calculation!F37,"")</f>
        <v/>
      </c>
      <c r="F37" s="54" t="str">
        <f>IF(Calculation!E37=Calculation!$A$149,Calculation!G37,"")</f>
        <v/>
      </c>
      <c r="G37" s="54" t="str">
        <f>IF(Calculation!E37=Calculation!$A$149,Calculation!H37,"")</f>
        <v/>
      </c>
      <c r="H37" s="55"/>
      <c r="T37" s="103"/>
    </row>
    <row r="38">
      <c r="A38" s="52" t="str">
        <f>IF(Calculation!E38=Calculation!$A$149,Calculation!B38,"")</f>
        <v/>
      </c>
      <c r="B38" s="53" t="str">
        <f>IF(Calculation!E38=Calculation!$A$149,Calculation!I38,"")</f>
        <v/>
      </c>
      <c r="C38" s="52" t="str">
        <f>IF(Calculation!E38=Calculation!$A$149,Calculation!D38,"")</f>
        <v/>
      </c>
      <c r="D38" s="52" t="str">
        <f>IF(Calculation!E38=Calculation!$A$149,Calculation!C38,"")</f>
        <v/>
      </c>
      <c r="E38" s="52" t="str">
        <f>IF(Calculation!E38=Calculation!$A$149,Calculation!F38,"")</f>
        <v/>
      </c>
      <c r="F38" s="54" t="str">
        <f>IF(Calculation!E38=Calculation!$A$149,Calculation!G38,"")</f>
        <v/>
      </c>
      <c r="G38" s="54" t="str">
        <f>IF(Calculation!E38=Calculation!$A$149,Calculation!H38,"")</f>
        <v/>
      </c>
      <c r="H38" s="55"/>
      <c r="T38" s="103"/>
    </row>
    <row r="39">
      <c r="A39" s="52" t="str">
        <f>IF(Calculation!E39=Calculation!$A$149,Calculation!B39,"")</f>
        <v/>
      </c>
      <c r="B39" s="53" t="str">
        <f>IF(Calculation!E39=Calculation!$A$149,Calculation!I39,"")</f>
        <v/>
      </c>
      <c r="C39" s="52" t="str">
        <f>IF(Calculation!E39=Calculation!$A$149,Calculation!D39,"")</f>
        <v/>
      </c>
      <c r="D39" s="52" t="str">
        <f>IF(Calculation!E39=Calculation!$A$149,Calculation!C39,"")</f>
        <v/>
      </c>
      <c r="E39" s="52" t="str">
        <f>IF(Calculation!E39=Calculation!$A$149,Calculation!F39,"")</f>
        <v/>
      </c>
      <c r="F39" s="54" t="str">
        <f>IF(Calculation!E39=Calculation!$A$149,Calculation!G39,"")</f>
        <v/>
      </c>
      <c r="G39" s="54" t="str">
        <f>IF(Calculation!E39=Calculation!$A$149,Calculation!H39,"")</f>
        <v/>
      </c>
      <c r="H39" s="55"/>
      <c r="T39" s="103"/>
    </row>
    <row r="40">
      <c r="A40" s="52" t="str">
        <f>IF(Calculation!E40=Calculation!$A$149,Calculation!B40,"")</f>
        <v/>
      </c>
      <c r="B40" s="53" t="str">
        <f>IF(Calculation!E40=Calculation!$A$149,Calculation!I40,"")</f>
        <v/>
      </c>
      <c r="C40" s="52" t="str">
        <f>IF(Calculation!E40=Calculation!$A$149,Calculation!D40,"")</f>
        <v/>
      </c>
      <c r="D40" s="52" t="str">
        <f>IF(Calculation!E40=Calculation!$A$149,Calculation!C40,"")</f>
        <v/>
      </c>
      <c r="E40" s="52" t="str">
        <f>IF(Calculation!E40=Calculation!$A$149,Calculation!F40,"")</f>
        <v/>
      </c>
      <c r="F40" s="54" t="str">
        <f>IF(Calculation!E40=Calculation!$A$149,Calculation!G40,"")</f>
        <v/>
      </c>
      <c r="G40" s="54" t="str">
        <f>IF(Calculation!E40=Calculation!$A$149,Calculation!H40,"")</f>
        <v/>
      </c>
      <c r="H40" s="55"/>
      <c r="L40" s="104"/>
      <c r="M40" s="104"/>
      <c r="N40" s="104"/>
      <c r="O40" s="104"/>
      <c r="P40" s="104"/>
      <c r="Q40" s="104"/>
      <c r="R40" s="104"/>
      <c r="S40" s="104"/>
      <c r="T40" s="105"/>
    </row>
    <row r="41">
      <c r="A41" s="52" t="str">
        <f>IF(Calculation!E41=Calculation!$A$149,Calculation!B41,"")</f>
        <v/>
      </c>
      <c r="B41" s="53" t="str">
        <f>IF(Calculation!E41=Calculation!$A$149,Calculation!I41,"")</f>
        <v/>
      </c>
      <c r="C41" s="52" t="str">
        <f>IF(Calculation!E41=Calculation!$A$149,Calculation!D41,"")</f>
        <v/>
      </c>
      <c r="D41" s="52" t="str">
        <f>IF(Calculation!E41=Calculation!$A$149,Calculation!C41,"")</f>
        <v/>
      </c>
      <c r="E41" s="52" t="str">
        <f>IF(Calculation!E41=Calculation!$A$149,Calculation!F41,"")</f>
        <v/>
      </c>
      <c r="F41" s="54" t="str">
        <f>IF(Calculation!E41=Calculation!$A$149,Calculation!G41,"")</f>
        <v/>
      </c>
      <c r="G41" s="54" t="str">
        <f>IF(Calculation!E41=Calculation!$A$149,Calculation!H41,"")</f>
        <v/>
      </c>
      <c r="H41" s="55"/>
    </row>
    <row r="42">
      <c r="A42" s="52" t="str">
        <f>IF(Calculation!E42=Calculation!$A$149,Calculation!B42,"")</f>
        <v/>
      </c>
      <c r="B42" s="53" t="str">
        <f>IF(Calculation!E42=Calculation!$A$149,Calculation!I42,"")</f>
        <v/>
      </c>
      <c r="C42" s="52" t="str">
        <f>IF(Calculation!E42=Calculation!$A$149,Calculation!D42,"")</f>
        <v/>
      </c>
      <c r="D42" s="52" t="str">
        <f>IF(Calculation!E42=Calculation!$A$149,Calculation!C42,"")</f>
        <v/>
      </c>
      <c r="E42" s="52" t="str">
        <f>IF(Calculation!E42=Calculation!$A$149,Calculation!F42,"")</f>
        <v/>
      </c>
      <c r="F42" s="54" t="str">
        <f>IF(Calculation!E42=Calculation!$A$149,Calculation!G42,"")</f>
        <v/>
      </c>
      <c r="G42" s="54" t="str">
        <f>IF(Calculation!E42=Calculation!$A$149,Calculation!H42,"")</f>
        <v/>
      </c>
      <c r="H42" s="55"/>
    </row>
    <row r="43">
      <c r="A43" s="52" t="str">
        <f>IF(Calculation!E43=Calculation!$A$149,Calculation!B43,"")</f>
        <v/>
      </c>
      <c r="B43" s="53" t="str">
        <f>IF(Calculation!E43=Calculation!$A$149,Calculation!I43,"")</f>
        <v/>
      </c>
      <c r="C43" s="52" t="str">
        <f>IF(Calculation!E43=Calculation!$A$149,Calculation!D43,"")</f>
        <v/>
      </c>
      <c r="D43" s="52" t="str">
        <f>IF(Calculation!E43=Calculation!$A$149,Calculation!C43,"")</f>
        <v/>
      </c>
      <c r="E43" s="52" t="str">
        <f>IF(Calculation!E43=Calculation!$A$149,Calculation!F43,"")</f>
        <v/>
      </c>
      <c r="F43" s="54" t="str">
        <f>IF(Calculation!E43=Calculation!$A$149,Calculation!G43,"")</f>
        <v/>
      </c>
      <c r="G43" s="54" t="str">
        <f>IF(Calculation!E43=Calculation!$A$149,Calculation!H43,"")</f>
        <v/>
      </c>
      <c r="H43" s="55"/>
    </row>
    <row r="44">
      <c r="A44" s="52" t="str">
        <f>IF(Calculation!E44=Calculation!$A$149,Calculation!B44,"")</f>
        <v/>
      </c>
      <c r="B44" s="53" t="str">
        <f>IF(Calculation!E44=Calculation!$A$149,Calculation!I44,"")</f>
        <v/>
      </c>
      <c r="C44" s="52" t="str">
        <f>IF(Calculation!E44=Calculation!$A$149,Calculation!D44,"")</f>
        <v/>
      </c>
      <c r="D44" s="52" t="str">
        <f>IF(Calculation!E44=Calculation!$A$149,Calculation!C44,"")</f>
        <v/>
      </c>
      <c r="E44" s="52" t="str">
        <f>IF(Calculation!E44=Calculation!$A$149,Calculation!F44,"")</f>
        <v/>
      </c>
      <c r="F44" s="54" t="str">
        <f>IF(Calculation!E44=Calculation!$A$149,Calculation!G44,"")</f>
        <v/>
      </c>
      <c r="G44" s="54" t="str">
        <f>IF(Calculation!E44=Calculation!$A$149,Calculation!H44,"")</f>
        <v/>
      </c>
      <c r="H44" s="55"/>
    </row>
    <row r="45">
      <c r="A45" s="52" t="str">
        <f>IF(Calculation!E45=Calculation!$A$149,Calculation!B45,"")</f>
        <v/>
      </c>
      <c r="B45" s="53" t="str">
        <f>IF(Calculation!E45=Calculation!$A$149,Calculation!I45,"")</f>
        <v/>
      </c>
      <c r="C45" s="52" t="str">
        <f>IF(Calculation!E45=Calculation!$A$149,Calculation!D45,"")</f>
        <v/>
      </c>
      <c r="D45" s="52" t="str">
        <f>IF(Calculation!E45=Calculation!$A$149,Calculation!C45,"")</f>
        <v/>
      </c>
      <c r="E45" s="52" t="str">
        <f>IF(Calculation!E45=Calculation!$A$149,Calculation!F45,"")</f>
        <v/>
      </c>
      <c r="F45" s="54" t="str">
        <f>IF(Calculation!E45=Calculation!$A$149,Calculation!G45,"")</f>
        <v/>
      </c>
      <c r="G45" s="54" t="str">
        <f>IF(Calculation!E45=Calculation!$A$149,Calculation!H45,"")</f>
        <v/>
      </c>
      <c r="H45" s="55"/>
    </row>
    <row r="46">
      <c r="A46" s="52" t="str">
        <f>IF(Calculation!E46=Calculation!$A$149,Calculation!B46,"")</f>
        <v/>
      </c>
      <c r="B46" s="53" t="str">
        <f>IF(Calculation!E46=Calculation!$A$149,Calculation!I46,"")</f>
        <v/>
      </c>
      <c r="C46" s="52" t="str">
        <f>IF(Calculation!E46=Calculation!$A$149,Calculation!D46,"")</f>
        <v/>
      </c>
      <c r="D46" s="52" t="str">
        <f>IF(Calculation!E46=Calculation!$A$149,Calculation!C46,"")</f>
        <v/>
      </c>
      <c r="E46" s="52" t="str">
        <f>IF(Calculation!E46=Calculation!$A$149,Calculation!F46,"")</f>
        <v/>
      </c>
      <c r="F46" s="54" t="str">
        <f>IF(Calculation!E46=Calculation!$A$149,Calculation!G46,"")</f>
        <v/>
      </c>
      <c r="G46" s="54" t="str">
        <f>IF(Calculation!E46=Calculation!$A$149,Calculation!H46,"")</f>
        <v/>
      </c>
      <c r="H46" s="55"/>
    </row>
    <row r="47">
      <c r="A47" s="52" t="str">
        <f>IF(Calculation!E47=Calculation!$A$149,Calculation!B47,"")</f>
        <v/>
      </c>
      <c r="B47" s="53" t="str">
        <f>IF(Calculation!E47=Calculation!$A$149,Calculation!I47,"")</f>
        <v/>
      </c>
      <c r="C47" s="52" t="str">
        <f>IF(Calculation!E47=Calculation!$A$149,Calculation!D47,"")</f>
        <v/>
      </c>
      <c r="D47" s="52" t="str">
        <f>IF(Calculation!E47=Calculation!$A$149,Calculation!C47,"")</f>
        <v/>
      </c>
      <c r="E47" s="52" t="str">
        <f>IF(Calculation!E47=Calculation!$A$149,Calculation!F47,"")</f>
        <v/>
      </c>
      <c r="F47" s="54" t="str">
        <f>IF(Calculation!E47=Calculation!$A$149,Calculation!G47,"")</f>
        <v/>
      </c>
      <c r="G47" s="54" t="str">
        <f>IF(Calculation!E47=Calculation!$A$149,Calculation!H47,"")</f>
        <v/>
      </c>
      <c r="H47" s="55"/>
    </row>
    <row r="48">
      <c r="A48" s="52" t="str">
        <f>IF(Calculation!E48=Calculation!$A$149,Calculation!B48,"")</f>
        <v/>
      </c>
      <c r="B48" s="53" t="str">
        <f>IF(Calculation!E48=Calculation!$A$149,Calculation!I48,"")</f>
        <v/>
      </c>
      <c r="C48" s="52" t="str">
        <f>IF(Calculation!E48=Calculation!$A$149,Calculation!D48,"")</f>
        <v/>
      </c>
      <c r="D48" s="52" t="str">
        <f>IF(Calculation!E48=Calculation!$A$149,Calculation!C48,"")</f>
        <v/>
      </c>
      <c r="E48" s="52" t="str">
        <f>IF(Calculation!E48=Calculation!$A$149,Calculation!F48,"")</f>
        <v/>
      </c>
      <c r="F48" s="54" t="str">
        <f>IF(Calculation!E48=Calculation!$A$149,Calculation!G48,"")</f>
        <v/>
      </c>
      <c r="G48" s="54" t="str">
        <f>IF(Calculation!E48=Calculation!$A$149,Calculation!H48,"")</f>
        <v/>
      </c>
      <c r="H48" s="55"/>
    </row>
    <row r="49">
      <c r="A49" s="52" t="str">
        <f>IF(Calculation!E49=Calculation!$A$149,Calculation!B49,"")</f>
        <v/>
      </c>
      <c r="B49" s="53" t="str">
        <f>IF(Calculation!E49=Calculation!$A$149,Calculation!I49,"")</f>
        <v/>
      </c>
      <c r="C49" s="52" t="str">
        <f>IF(Calculation!E49=Calculation!$A$149,Calculation!D49,"")</f>
        <v/>
      </c>
      <c r="D49" s="52" t="str">
        <f>IF(Calculation!E49=Calculation!$A$149,Calculation!C49,"")</f>
        <v/>
      </c>
      <c r="E49" s="52" t="str">
        <f>IF(Calculation!E49=Calculation!$A$149,Calculation!F49,"")</f>
        <v/>
      </c>
      <c r="F49" s="54" t="str">
        <f>IF(Calculation!E49=Calculation!$A$149,Calculation!G49,"")</f>
        <v/>
      </c>
      <c r="G49" s="54" t="str">
        <f>IF(Calculation!E49=Calculation!$A$149,Calculation!H49,"")</f>
        <v/>
      </c>
      <c r="H49" s="55"/>
    </row>
    <row r="50">
      <c r="A50" s="52" t="str">
        <f>IF(Calculation!E50=Calculation!$A$149,Calculation!B50,"")</f>
        <v/>
      </c>
      <c r="B50" s="53" t="str">
        <f>IF(Calculation!E50=Calculation!$A$149,Calculation!I50,"")</f>
        <v/>
      </c>
      <c r="C50" s="52" t="str">
        <f>IF(Calculation!E50=Calculation!$A$149,Calculation!D50,"")</f>
        <v/>
      </c>
      <c r="D50" s="52" t="str">
        <f>IF(Calculation!E50=Calculation!$A$149,Calculation!C50,"")</f>
        <v/>
      </c>
      <c r="E50" s="52" t="str">
        <f>IF(Calculation!E50=Calculation!$A$149,Calculation!F50,"")</f>
        <v/>
      </c>
      <c r="F50" s="54" t="str">
        <f>IF(Calculation!E50=Calculation!$A$149,Calculation!G50,"")</f>
        <v/>
      </c>
      <c r="G50" s="54" t="str">
        <f>IF(Calculation!E50=Calculation!$A$149,Calculation!H50,"")</f>
        <v/>
      </c>
      <c r="H50" s="55"/>
    </row>
    <row r="51">
      <c r="A51" s="52" t="str">
        <f>IF(Calculation!E51=Calculation!$A$149,Calculation!B51,"")</f>
        <v/>
      </c>
      <c r="B51" s="53" t="str">
        <f>IF(Calculation!E51=Calculation!$A$149,Calculation!I51,"")</f>
        <v/>
      </c>
      <c r="C51" s="52" t="str">
        <f>IF(Calculation!E51=Calculation!$A$149,Calculation!D51,"")</f>
        <v/>
      </c>
      <c r="D51" s="52" t="str">
        <f>IF(Calculation!E51=Calculation!$A$149,Calculation!C51,"")</f>
        <v/>
      </c>
      <c r="E51" s="52" t="str">
        <f>IF(Calculation!E51=Calculation!$A$149,Calculation!F51,"")</f>
        <v/>
      </c>
      <c r="F51" s="54" t="str">
        <f>IF(Calculation!E51=Calculation!$A$149,Calculation!G51,"")</f>
        <v/>
      </c>
      <c r="G51" s="54" t="str">
        <f>IF(Calculation!E51=Calculation!$A$149,Calculation!H51,"")</f>
        <v/>
      </c>
      <c r="H51" s="55"/>
    </row>
    <row r="52">
      <c r="A52" s="52" t="str">
        <f>IF(Calculation!E52=Calculation!$A$149,Calculation!B52,"")</f>
        <v/>
      </c>
      <c r="B52" s="53" t="str">
        <f>IF(Calculation!E52=Calculation!$A$149,Calculation!I52,"")</f>
        <v/>
      </c>
      <c r="C52" s="52" t="str">
        <f>IF(Calculation!E52=Calculation!$A$149,Calculation!D52,"")</f>
        <v/>
      </c>
      <c r="D52" s="52" t="str">
        <f>IF(Calculation!E52=Calculation!$A$149,Calculation!C52,"")</f>
        <v/>
      </c>
      <c r="E52" s="52" t="str">
        <f>IF(Calculation!E52=Calculation!$A$149,Calculation!F52,"")</f>
        <v/>
      </c>
      <c r="F52" s="54" t="str">
        <f>IF(Calculation!E52=Calculation!$A$149,Calculation!G52,"")</f>
        <v/>
      </c>
      <c r="G52" s="54" t="str">
        <f>IF(Calculation!E52=Calculation!$A$149,Calculation!H52,"")</f>
        <v/>
      </c>
      <c r="H52" s="55"/>
    </row>
    <row r="53">
      <c r="A53" s="52" t="str">
        <f>IF(Calculation!E53=Calculation!$A$149,Calculation!B53,"")</f>
        <v/>
      </c>
      <c r="B53" s="53" t="str">
        <f>IF(Calculation!E53=Calculation!$A$149,Calculation!I53,"")</f>
        <v/>
      </c>
      <c r="C53" s="52" t="str">
        <f>IF(Calculation!E53=Calculation!$A$149,Calculation!D53,"")</f>
        <v/>
      </c>
      <c r="D53" s="52" t="str">
        <f>IF(Calculation!E53=Calculation!$A$149,Calculation!C53,"")</f>
        <v/>
      </c>
      <c r="E53" s="52" t="str">
        <f>IF(Calculation!E53=Calculation!$A$149,Calculation!F53,"")</f>
        <v/>
      </c>
      <c r="F53" s="54" t="str">
        <f>IF(Calculation!E53=Calculation!$A$149,Calculation!G53,"")</f>
        <v/>
      </c>
      <c r="G53" s="54" t="str">
        <f>IF(Calculation!E53=Calculation!$A$149,Calculation!H53,"")</f>
        <v/>
      </c>
      <c r="H53" s="55"/>
    </row>
    <row r="54">
      <c r="A54" s="52" t="str">
        <f>IF(Calculation!E54=Calculation!$A$149,Calculation!B54,"")</f>
        <v/>
      </c>
      <c r="B54" s="53" t="str">
        <f>IF(Calculation!E54=Calculation!$A$149,Calculation!I54,"")</f>
        <v/>
      </c>
      <c r="C54" s="52" t="str">
        <f>IF(Calculation!E54=Calculation!$A$149,Calculation!D54,"")</f>
        <v/>
      </c>
      <c r="D54" s="52" t="str">
        <f>IF(Calculation!E54=Calculation!$A$149,Calculation!C54,"")</f>
        <v/>
      </c>
      <c r="E54" s="52" t="str">
        <f>IF(Calculation!E54=Calculation!$A$149,Calculation!F54,"")</f>
        <v/>
      </c>
      <c r="F54" s="54" t="str">
        <f>IF(Calculation!E54=Calculation!$A$149,Calculation!G54,"")</f>
        <v/>
      </c>
      <c r="G54" s="54" t="str">
        <f>IF(Calculation!E54=Calculation!$A$149,Calculation!H54,"")</f>
        <v/>
      </c>
      <c r="H54" s="55"/>
    </row>
    <row r="55">
      <c r="A55" s="52" t="str">
        <f>IF(Calculation!E55=Calculation!$A$149,Calculation!B55,"")</f>
        <v/>
      </c>
      <c r="B55" s="53" t="str">
        <f>IF(Calculation!E55=Calculation!$A$149,Calculation!I55,"")</f>
        <v/>
      </c>
      <c r="C55" s="52" t="str">
        <f>IF(Calculation!E55=Calculation!$A$149,Calculation!D55,"")</f>
        <v/>
      </c>
      <c r="D55" s="52" t="str">
        <f>IF(Calculation!E55=Calculation!$A$149,Calculation!C55,"")</f>
        <v/>
      </c>
      <c r="E55" s="52" t="str">
        <f>IF(Calculation!E55=Calculation!$A$149,Calculation!F55,"")</f>
        <v/>
      </c>
      <c r="F55" s="54" t="str">
        <f>IF(Calculation!E55=Calculation!$A$149,Calculation!G55,"")</f>
        <v/>
      </c>
      <c r="G55" s="54" t="str">
        <f>IF(Calculation!E55=Calculation!$A$149,Calculation!H55,"")</f>
        <v/>
      </c>
      <c r="H55" s="55"/>
    </row>
    <row r="56">
      <c r="A56" s="52" t="str">
        <f>IF(Calculation!E56=Calculation!$A$149,Calculation!B56,"")</f>
        <v/>
      </c>
      <c r="B56" s="53" t="str">
        <f>IF(Calculation!E56=Calculation!$A$149,Calculation!I56,"")</f>
        <v/>
      </c>
      <c r="C56" s="52" t="str">
        <f>IF(Calculation!E56=Calculation!$A$149,Calculation!D56,"")</f>
        <v/>
      </c>
      <c r="D56" s="52" t="str">
        <f>IF(Calculation!E56=Calculation!$A$149,Calculation!C56,"")</f>
        <v/>
      </c>
      <c r="E56" s="52" t="str">
        <f>IF(Calculation!E56=Calculation!$A$149,Calculation!F56,"")</f>
        <v/>
      </c>
      <c r="F56" s="54" t="str">
        <f>IF(Calculation!E56=Calculation!$A$149,Calculation!G56,"")</f>
        <v/>
      </c>
      <c r="G56" s="54" t="str">
        <f>IF(Calculation!E56=Calculation!$A$149,Calculation!H56,"")</f>
        <v/>
      </c>
      <c r="H56" s="55"/>
    </row>
    <row r="57">
      <c r="A57" s="52" t="str">
        <f>IF(Calculation!E57=Calculation!$A$149,Calculation!B57,"")</f>
        <v/>
      </c>
      <c r="B57" s="53" t="str">
        <f>IF(Calculation!E57=Calculation!$A$149,Calculation!I57,"")</f>
        <v/>
      </c>
      <c r="C57" s="52" t="str">
        <f>IF(Calculation!E57=Calculation!$A$149,Calculation!D57,"")</f>
        <v/>
      </c>
      <c r="D57" s="52" t="str">
        <f>IF(Calculation!E57=Calculation!$A$149,Calculation!C57,"")</f>
        <v/>
      </c>
      <c r="E57" s="52" t="str">
        <f>IF(Calculation!E57=Calculation!$A$149,Calculation!F57,"")</f>
        <v/>
      </c>
      <c r="F57" s="54" t="str">
        <f>IF(Calculation!E57=Calculation!$A$149,Calculation!G57,"")</f>
        <v/>
      </c>
      <c r="G57" s="54" t="str">
        <f>IF(Calculation!E57=Calculation!$A$149,Calculation!H57,"")</f>
        <v/>
      </c>
      <c r="H57" s="55"/>
    </row>
    <row r="58">
      <c r="A58" s="52" t="str">
        <f>IF(Calculation!E58=Calculation!$A$149,Calculation!B58,"")</f>
        <v/>
      </c>
      <c r="B58" s="53" t="str">
        <f>IF(Calculation!E58=Calculation!$A$149,Calculation!I58,"")</f>
        <v/>
      </c>
      <c r="C58" s="52" t="str">
        <f>IF(Calculation!E58=Calculation!$A$149,Calculation!D58,"")</f>
        <v/>
      </c>
      <c r="D58" s="52" t="str">
        <f>IF(Calculation!E58=Calculation!$A$149,Calculation!C58,"")</f>
        <v/>
      </c>
      <c r="E58" s="52" t="str">
        <f>IF(Calculation!E58=Calculation!$A$149,Calculation!F58,"")</f>
        <v/>
      </c>
      <c r="F58" s="54" t="str">
        <f>IF(Calculation!E58=Calculation!$A$149,Calculation!G58,"")</f>
        <v/>
      </c>
      <c r="G58" s="54" t="str">
        <f>IF(Calculation!E58=Calculation!$A$149,Calculation!H58,"")</f>
        <v/>
      </c>
      <c r="H58" s="55"/>
    </row>
    <row r="59">
      <c r="A59" s="52" t="str">
        <f>IF(Calculation!E59=Calculation!$A$149,Calculation!B59,"")</f>
        <v/>
      </c>
      <c r="B59" s="53" t="str">
        <f>IF(Calculation!E59=Calculation!$A$149,Calculation!I59,"")</f>
        <v/>
      </c>
      <c r="C59" s="52" t="str">
        <f>IF(Calculation!E59=Calculation!$A$149,Calculation!D59,"")</f>
        <v/>
      </c>
      <c r="D59" s="52" t="str">
        <f>IF(Calculation!E59=Calculation!$A$149,Calculation!C59,"")</f>
        <v/>
      </c>
      <c r="E59" s="52" t="str">
        <f>IF(Calculation!E59=Calculation!$A$149,Calculation!F59,"")</f>
        <v/>
      </c>
      <c r="F59" s="54" t="str">
        <f>IF(Calculation!E59=Calculation!$A$149,Calculation!G59,"")</f>
        <v/>
      </c>
      <c r="G59" s="54" t="str">
        <f>IF(Calculation!E59=Calculation!$A$149,Calculation!H59,"")</f>
        <v/>
      </c>
      <c r="H59" s="55"/>
    </row>
    <row r="60">
      <c r="A60" s="52" t="str">
        <f>IF(Calculation!E60=Calculation!$A$149,Calculation!B60,"")</f>
        <v/>
      </c>
      <c r="B60" s="53" t="str">
        <f>IF(Calculation!E60=Calculation!$A$149,Calculation!I60,"")</f>
        <v/>
      </c>
      <c r="C60" s="52" t="str">
        <f>IF(Calculation!E60=Calculation!$A$149,Calculation!D60,"")</f>
        <v/>
      </c>
      <c r="D60" s="52" t="str">
        <f>IF(Calculation!E60=Calculation!$A$149,Calculation!C60,"")</f>
        <v/>
      </c>
      <c r="E60" s="52" t="str">
        <f>IF(Calculation!E60=Calculation!$A$149,Calculation!F60,"")</f>
        <v/>
      </c>
      <c r="F60" s="54" t="str">
        <f>IF(Calculation!E60=Calculation!$A$149,Calculation!G60,"")</f>
        <v/>
      </c>
      <c r="G60" s="54" t="str">
        <f>IF(Calculation!E60=Calculation!$A$149,Calculation!H60,"")</f>
        <v/>
      </c>
      <c r="H60" s="55"/>
    </row>
    <row r="61">
      <c r="A61" s="52" t="str">
        <f>IF(Calculation!E61=Calculation!$A$149,Calculation!B61,"")</f>
        <v/>
      </c>
      <c r="B61" s="53" t="str">
        <f>IF(Calculation!E61=Calculation!$A$149,Calculation!I61,"")</f>
        <v/>
      </c>
      <c r="C61" s="52" t="str">
        <f>IF(Calculation!E61=Calculation!$A$149,Calculation!D61,"")</f>
        <v/>
      </c>
      <c r="D61" s="52" t="str">
        <f>IF(Calculation!E61=Calculation!$A$149,Calculation!C61,"")</f>
        <v/>
      </c>
      <c r="E61" s="52" t="str">
        <f>IF(Calculation!E61=Calculation!$A$149,Calculation!F61,"")</f>
        <v/>
      </c>
      <c r="F61" s="54" t="str">
        <f>IF(Calculation!E61=Calculation!$A$149,Calculation!G61,"")</f>
        <v/>
      </c>
      <c r="G61" s="54" t="str">
        <f>IF(Calculation!E61=Calculation!$A$149,Calculation!H61,"")</f>
        <v/>
      </c>
      <c r="H61" s="55"/>
    </row>
    <row r="62">
      <c r="A62" s="52" t="str">
        <f>IF(Calculation!E62=Calculation!$A$149,Calculation!B62,"")</f>
        <v/>
      </c>
      <c r="B62" s="53" t="str">
        <f>IF(Calculation!E62=Calculation!$A$149,Calculation!I62,"")</f>
        <v/>
      </c>
      <c r="C62" s="52" t="str">
        <f>IF(Calculation!E62=Calculation!$A$149,Calculation!D62,"")</f>
        <v/>
      </c>
      <c r="D62" s="52" t="str">
        <f>IF(Calculation!E62=Calculation!$A$149,Calculation!C62,"")</f>
        <v/>
      </c>
      <c r="E62" s="52" t="str">
        <f>IF(Calculation!E62=Calculation!$A$149,Calculation!F62,"")</f>
        <v/>
      </c>
      <c r="F62" s="54" t="str">
        <f>IF(Calculation!E62=Calculation!$A$149,Calculation!G62,"")</f>
        <v/>
      </c>
      <c r="G62" s="54" t="str">
        <f>IF(Calculation!E62=Calculation!$A$149,Calculation!H62,"")</f>
        <v/>
      </c>
      <c r="H62" s="55"/>
    </row>
    <row r="63">
      <c r="A63" s="52" t="str">
        <f>IF(Calculation!E63=Calculation!$A$149,Calculation!B63,"")</f>
        <v/>
      </c>
      <c r="B63" s="53" t="str">
        <f>IF(Calculation!E63=Calculation!$A$149,Calculation!I63,"")</f>
        <v/>
      </c>
      <c r="C63" s="52" t="str">
        <f>IF(Calculation!E63=Calculation!$A$149,Calculation!D63,"")</f>
        <v/>
      </c>
      <c r="D63" s="52" t="str">
        <f>IF(Calculation!E63=Calculation!$A$149,Calculation!C63,"")</f>
        <v/>
      </c>
      <c r="E63" s="52" t="str">
        <f>IF(Calculation!E63=Calculation!$A$149,Calculation!F63,"")</f>
        <v/>
      </c>
      <c r="F63" s="54" t="str">
        <f>IF(Calculation!E63=Calculation!$A$149,Calculation!G63,"")</f>
        <v/>
      </c>
      <c r="G63" s="54" t="str">
        <f>IF(Calculation!E63=Calculation!$A$149,Calculation!H63,"")</f>
        <v/>
      </c>
      <c r="H63" s="55"/>
    </row>
    <row r="64">
      <c r="A64" s="52" t="str">
        <f>IF(Calculation!E64=Calculation!$A$149,Calculation!B64,"")</f>
        <v/>
      </c>
      <c r="B64" s="53" t="str">
        <f>IF(Calculation!E64=Calculation!$A$149,Calculation!I64,"")</f>
        <v/>
      </c>
      <c r="C64" s="52" t="str">
        <f>IF(Calculation!E64=Calculation!$A$149,Calculation!D64,"")</f>
        <v/>
      </c>
      <c r="D64" s="52" t="str">
        <f>IF(Calculation!E64=Calculation!$A$149,Calculation!C64,"")</f>
        <v/>
      </c>
      <c r="E64" s="52" t="str">
        <f>IF(Calculation!E64=Calculation!$A$149,Calculation!F64,"")</f>
        <v/>
      </c>
      <c r="F64" s="54" t="str">
        <f>IF(Calculation!E64=Calculation!$A$149,Calculation!G64,"")</f>
        <v/>
      </c>
      <c r="G64" s="54" t="str">
        <f>IF(Calculation!E64=Calculation!$A$149,Calculation!H64,"")</f>
        <v/>
      </c>
      <c r="H64" s="55"/>
    </row>
    <row r="65">
      <c r="A65" s="52" t="str">
        <f>IF(Calculation!E65=Calculation!$A$149,Calculation!B65,"")</f>
        <v/>
      </c>
      <c r="B65" s="53" t="str">
        <f>IF(Calculation!E65=Calculation!$A$149,Calculation!I65,"")</f>
        <v/>
      </c>
      <c r="C65" s="52" t="str">
        <f>IF(Calculation!E65=Calculation!$A$149,Calculation!D65,"")</f>
        <v/>
      </c>
      <c r="D65" s="52" t="str">
        <f>IF(Calculation!E65=Calculation!$A$149,Calculation!C65,"")</f>
        <v/>
      </c>
      <c r="E65" s="52" t="str">
        <f>IF(Calculation!E65=Calculation!$A$149,Calculation!F65,"")</f>
        <v/>
      </c>
      <c r="F65" s="54" t="str">
        <f>IF(Calculation!E65=Calculation!$A$149,Calculation!G65,"")</f>
        <v/>
      </c>
      <c r="G65" s="54" t="str">
        <f>IF(Calculation!E65=Calculation!$A$149,Calculation!H65,"")</f>
        <v/>
      </c>
      <c r="H65" s="55"/>
    </row>
    <row r="66">
      <c r="A66" s="52" t="str">
        <f>IF(Calculation!E66=Calculation!$A$149,Calculation!B66,"")</f>
        <v/>
      </c>
      <c r="B66" s="53" t="str">
        <f>IF(Calculation!E66=Calculation!$A$149,Calculation!I66,"")</f>
        <v/>
      </c>
      <c r="C66" s="52" t="str">
        <f>IF(Calculation!E66=Calculation!$A$149,Calculation!D66,"")</f>
        <v/>
      </c>
      <c r="D66" s="52" t="str">
        <f>IF(Calculation!E66=Calculation!$A$149,Calculation!C66,"")</f>
        <v/>
      </c>
      <c r="E66" s="52" t="str">
        <f>IF(Calculation!E66=Calculation!$A$149,Calculation!F66,"")</f>
        <v/>
      </c>
      <c r="F66" s="54" t="str">
        <f>IF(Calculation!E66=Calculation!$A$149,Calculation!G66,"")</f>
        <v/>
      </c>
      <c r="G66" s="54" t="str">
        <f>IF(Calculation!E66=Calculation!$A$149,Calculation!H66,"")</f>
        <v/>
      </c>
      <c r="H66" s="55"/>
    </row>
    <row r="67">
      <c r="A67" s="52" t="str">
        <f>IF(Calculation!E67=Calculation!$A$149,Calculation!B67,"")</f>
        <v/>
      </c>
      <c r="B67" s="53" t="str">
        <f>IF(Calculation!E67=Calculation!$A$149,Calculation!I67,"")</f>
        <v/>
      </c>
      <c r="C67" s="52" t="str">
        <f>IF(Calculation!E67=Calculation!$A$149,Calculation!D67,"")</f>
        <v/>
      </c>
      <c r="D67" s="52" t="str">
        <f>IF(Calculation!E67=Calculation!$A$149,Calculation!C67,"")</f>
        <v/>
      </c>
      <c r="E67" s="52" t="str">
        <f>IF(Calculation!E67=Calculation!$A$149,Calculation!F67,"")</f>
        <v/>
      </c>
      <c r="F67" s="54" t="str">
        <f>IF(Calculation!E67=Calculation!$A$149,Calculation!G67,"")</f>
        <v/>
      </c>
      <c r="G67" s="54" t="str">
        <f>IF(Calculation!E67=Calculation!$A$149,Calculation!H67,"")</f>
        <v/>
      </c>
      <c r="H67" s="55"/>
    </row>
    <row r="68">
      <c r="A68" s="52" t="str">
        <f>IF(Calculation!E68=Calculation!$A$149,Calculation!B68,"")</f>
        <v/>
      </c>
      <c r="B68" s="53" t="str">
        <f>IF(Calculation!E68=Calculation!$A$149,Calculation!I68,"")</f>
        <v/>
      </c>
      <c r="C68" s="52" t="str">
        <f>IF(Calculation!E68=Calculation!$A$149,Calculation!D68,"")</f>
        <v/>
      </c>
      <c r="D68" s="52" t="str">
        <f>IF(Calculation!E68=Calculation!$A$149,Calculation!C68,"")</f>
        <v/>
      </c>
      <c r="E68" s="52" t="str">
        <f>IF(Calculation!E68=Calculation!$A$149,Calculation!F68,"")</f>
        <v/>
      </c>
      <c r="F68" s="54" t="str">
        <f>IF(Calculation!E68=Calculation!$A$149,Calculation!G68,"")</f>
        <v/>
      </c>
      <c r="G68" s="54" t="str">
        <f>IF(Calculation!E68=Calculation!$A$149,Calculation!H68,"")</f>
        <v/>
      </c>
      <c r="H68" s="55"/>
    </row>
    <row r="69">
      <c r="A69" s="52" t="str">
        <f>IF(Calculation!E69=Calculation!$A$149,Calculation!B69,"")</f>
        <v/>
      </c>
      <c r="B69" s="53" t="str">
        <f>IF(Calculation!E69=Calculation!$A$149,Calculation!I69,"")</f>
        <v/>
      </c>
      <c r="C69" s="52" t="str">
        <f>IF(Calculation!E69=Calculation!$A$149,Calculation!D69,"")</f>
        <v/>
      </c>
      <c r="D69" s="52" t="str">
        <f>IF(Calculation!E69=Calculation!$A$149,Calculation!C69,"")</f>
        <v/>
      </c>
      <c r="E69" s="52" t="str">
        <f>IF(Calculation!E69=Calculation!$A$149,Calculation!F69,"")</f>
        <v/>
      </c>
      <c r="F69" s="54" t="str">
        <f>IF(Calculation!E69=Calculation!$A$149,Calculation!G69,"")</f>
        <v/>
      </c>
      <c r="G69" s="54" t="str">
        <f>IF(Calculation!E69=Calculation!$A$149,Calculation!H69,"")</f>
        <v/>
      </c>
      <c r="H69" s="55"/>
    </row>
    <row r="70">
      <c r="A70" s="52" t="str">
        <f>IF(Calculation!E70=Calculation!$A$149,Calculation!B70,"")</f>
        <v/>
      </c>
      <c r="B70" s="53" t="str">
        <f>IF(Calculation!E70=Calculation!$A$149,Calculation!I70,"")</f>
        <v/>
      </c>
      <c r="C70" s="52" t="str">
        <f>IF(Calculation!E70=Calculation!$A$149,Calculation!D70,"")</f>
        <v/>
      </c>
      <c r="D70" s="52" t="str">
        <f>IF(Calculation!E70=Calculation!$A$149,Calculation!C70,"")</f>
        <v/>
      </c>
      <c r="E70" s="52" t="str">
        <f>IF(Calculation!E70=Calculation!$A$149,Calculation!F70,"")</f>
        <v/>
      </c>
      <c r="F70" s="54" t="str">
        <f>IF(Calculation!E70=Calculation!$A$149,Calculation!G70,"")</f>
        <v/>
      </c>
      <c r="G70" s="54" t="str">
        <f>IF(Calculation!E70=Calculation!$A$149,Calculation!H70,"")</f>
        <v/>
      </c>
      <c r="H70" s="55"/>
    </row>
    <row r="71">
      <c r="A71" s="52" t="str">
        <f>IF(Calculation!E71=Calculation!$A$149,Calculation!B71,"")</f>
        <v/>
      </c>
      <c r="B71" s="53" t="str">
        <f>IF(Calculation!E71=Calculation!$A$149,Calculation!I71,"")</f>
        <v/>
      </c>
      <c r="C71" s="52" t="str">
        <f>IF(Calculation!E71=Calculation!$A$149,Calculation!D71,"")</f>
        <v/>
      </c>
      <c r="D71" s="52" t="str">
        <f>IF(Calculation!E71=Calculation!$A$149,Calculation!C71,"")</f>
        <v/>
      </c>
      <c r="E71" s="52" t="str">
        <f>IF(Calculation!E71=Calculation!$A$149,Calculation!F71,"")</f>
        <v/>
      </c>
      <c r="F71" s="54" t="str">
        <f>IF(Calculation!E71=Calculation!$A$149,Calculation!G71,"")</f>
        <v/>
      </c>
      <c r="G71" s="54" t="str">
        <f>IF(Calculation!E71=Calculation!$A$149,Calculation!H71,"")</f>
        <v/>
      </c>
      <c r="H71" s="55"/>
    </row>
    <row r="72">
      <c r="A72" s="52" t="str">
        <f>IF(Calculation!E72=Calculation!$A$149,Calculation!B72,"")</f>
        <v/>
      </c>
      <c r="B72" s="53" t="str">
        <f>IF(Calculation!E72=Calculation!$A$149,Calculation!I72,"")</f>
        <v/>
      </c>
      <c r="C72" s="52" t="str">
        <f>IF(Calculation!E72=Calculation!$A$149,Calculation!D72,"")</f>
        <v/>
      </c>
      <c r="D72" s="52" t="str">
        <f>IF(Calculation!E72=Calculation!$A$149,Calculation!C72,"")</f>
        <v/>
      </c>
      <c r="E72" s="52" t="str">
        <f>IF(Calculation!E72=Calculation!$A$149,Calculation!F72,"")</f>
        <v/>
      </c>
      <c r="F72" s="54" t="str">
        <f>IF(Calculation!E72=Calculation!$A$149,Calculation!G72,"")</f>
        <v/>
      </c>
      <c r="G72" s="54" t="str">
        <f>IF(Calculation!E72=Calculation!$A$149,Calculation!H72,"")</f>
        <v/>
      </c>
      <c r="H72" s="55"/>
    </row>
    <row r="73">
      <c r="A73" s="52" t="str">
        <f>IF(Calculation!E73=Calculation!$A$149,Calculation!B73,"")</f>
        <v/>
      </c>
      <c r="B73" s="53" t="str">
        <f>IF(Calculation!E73=Calculation!$A$149,Calculation!I73,"")</f>
        <v/>
      </c>
      <c r="C73" s="52" t="str">
        <f>IF(Calculation!E73=Calculation!$A$149,Calculation!D73,"")</f>
        <v/>
      </c>
      <c r="D73" s="52" t="str">
        <f>IF(Calculation!E73=Calculation!$A$149,Calculation!C73,"")</f>
        <v/>
      </c>
      <c r="E73" s="52" t="str">
        <f>IF(Calculation!E73=Calculation!$A$149,Calculation!F73,"")</f>
        <v/>
      </c>
      <c r="F73" s="54" t="str">
        <f>IF(Calculation!E73=Calculation!$A$149,Calculation!G73,"")</f>
        <v/>
      </c>
      <c r="G73" s="54" t="str">
        <f>IF(Calculation!E73=Calculation!$A$149,Calculation!H73,"")</f>
        <v/>
      </c>
      <c r="H73" s="55"/>
    </row>
    <row r="74">
      <c r="A74" s="52" t="str">
        <f>IF(Calculation!E74=Calculation!$A$149,Calculation!B74,"")</f>
        <v/>
      </c>
      <c r="B74" s="53" t="str">
        <f>IF(Calculation!E74=Calculation!$A$149,Calculation!I74,"")</f>
        <v/>
      </c>
      <c r="C74" s="52" t="str">
        <f>IF(Calculation!E74=Calculation!$A$149,Calculation!D74,"")</f>
        <v/>
      </c>
      <c r="D74" s="52" t="str">
        <f>IF(Calculation!E74=Calculation!$A$149,Calculation!C74,"")</f>
        <v/>
      </c>
      <c r="E74" s="52" t="str">
        <f>IF(Calculation!E74=Calculation!$A$149,Calculation!F74,"")</f>
        <v/>
      </c>
      <c r="F74" s="54" t="str">
        <f>IF(Calculation!E74=Calculation!$A$149,Calculation!G74,"")</f>
        <v/>
      </c>
      <c r="G74" s="54" t="str">
        <f>IF(Calculation!E74=Calculation!$A$149,Calculation!H74,"")</f>
        <v/>
      </c>
      <c r="H74" s="55"/>
    </row>
    <row r="75">
      <c r="A75" s="52" t="str">
        <f>IF(Calculation!E75=Calculation!$A$149,Calculation!B75,"")</f>
        <v/>
      </c>
      <c r="B75" s="53" t="str">
        <f>IF(Calculation!E75=Calculation!$A$149,Calculation!I75,"")</f>
        <v/>
      </c>
      <c r="C75" s="52" t="str">
        <f>IF(Calculation!E75=Calculation!$A$149,Calculation!D75,"")</f>
        <v/>
      </c>
      <c r="D75" s="52" t="str">
        <f>IF(Calculation!E75=Calculation!$A$149,Calculation!C75,"")</f>
        <v/>
      </c>
      <c r="E75" s="52" t="str">
        <f>IF(Calculation!E75=Calculation!$A$149,Calculation!F75,"")</f>
        <v/>
      </c>
      <c r="F75" s="54" t="str">
        <f>IF(Calculation!E75=Calculation!$A$149,Calculation!G75,"")</f>
        <v/>
      </c>
      <c r="G75" s="54" t="str">
        <f>IF(Calculation!E75=Calculation!$A$149,Calculation!H75,"")</f>
        <v/>
      </c>
      <c r="H75" s="55"/>
    </row>
    <row r="76">
      <c r="A76" s="52" t="str">
        <f>IF(Calculation!E76=Calculation!$A$149,Calculation!B76,"")</f>
        <v/>
      </c>
      <c r="B76" s="53" t="str">
        <f>IF(Calculation!E76=Calculation!$A$149,Calculation!I76,"")</f>
        <v/>
      </c>
      <c r="C76" s="52" t="str">
        <f>IF(Calculation!E76=Calculation!$A$149,Calculation!D76,"")</f>
        <v/>
      </c>
      <c r="D76" s="52" t="str">
        <f>IF(Calculation!E76=Calculation!$A$149,Calculation!C76,"")</f>
        <v/>
      </c>
      <c r="E76" s="52" t="str">
        <f>IF(Calculation!E76=Calculation!$A$149,Calculation!F76,"")</f>
        <v/>
      </c>
      <c r="F76" s="54" t="str">
        <f>IF(Calculation!E76=Calculation!$A$149,Calculation!G76,"")</f>
        <v/>
      </c>
      <c r="G76" s="54" t="str">
        <f>IF(Calculation!E76=Calculation!$A$149,Calculation!H76,"")</f>
        <v/>
      </c>
      <c r="H76" s="55"/>
    </row>
    <row r="77" ht="22.5" customHeight="1">
      <c r="A77" s="52" t="str">
        <f>IF(Calculation!E77=Calculation!$A$149,Calculation!B77,"")</f>
        <v/>
      </c>
      <c r="B77" s="53" t="str">
        <f>IF(Calculation!E77=Calculation!$A$149,Calculation!I77,"")</f>
        <v/>
      </c>
      <c r="C77" s="52" t="str">
        <f>IF(Calculation!E77=Calculation!$A$149,Calculation!D77,"")</f>
        <v/>
      </c>
      <c r="D77" s="52" t="str">
        <f>IF(Calculation!E77=Calculation!$A$149,Calculation!C77,"")</f>
        <v/>
      </c>
      <c r="E77" s="52" t="str">
        <f>IF(Calculation!E77=Calculation!$A$149,Calculation!F77,"")</f>
        <v/>
      </c>
      <c r="F77" s="54" t="str">
        <f>IF(Calculation!E77=Calculation!$A$149,Calculation!G77,"")</f>
        <v/>
      </c>
      <c r="G77" s="54" t="str">
        <f>IF(Calculation!E77=Calculation!$A$149,Calculation!H77,"")</f>
        <v/>
      </c>
      <c r="H77" s="55"/>
    </row>
    <row r="78" ht="21.75" customHeight="1">
      <c r="A78" s="52" t="str">
        <f>IF(Calculation!E78=Calculation!$A$149,Calculation!B78,"")</f>
        <v/>
      </c>
      <c r="B78" s="53" t="str">
        <f>IF(Calculation!E78=Calculation!$A$149,Calculation!I78,"")</f>
        <v/>
      </c>
      <c r="C78" s="52" t="str">
        <f>IF(Calculation!E78=Calculation!$A$149,Calculation!D78,"")</f>
        <v/>
      </c>
      <c r="D78" s="52" t="str">
        <f>IF(Calculation!E78=Calculation!$A$149,Calculation!C78,"")</f>
        <v/>
      </c>
      <c r="E78" s="52" t="str">
        <f>IF(Calculation!E78=Calculation!$A$149,Calculation!F78,"")</f>
        <v/>
      </c>
      <c r="F78" s="54" t="str">
        <f>IF(Calculation!E78=Calculation!$A$149,Calculation!G78,"")</f>
        <v/>
      </c>
      <c r="G78" s="54" t="str">
        <f>IF(Calculation!E78=Calculation!$A$149,Calculation!H78,"")</f>
        <v/>
      </c>
      <c r="H78" s="55"/>
    </row>
    <row r="79" ht="24.0" customHeight="1">
      <c r="A79" s="52" t="str">
        <f>IF(Calculation!E79=Calculation!$A$149,Calculation!B79,"")</f>
        <v/>
      </c>
      <c r="B79" s="53" t="str">
        <f>IF(Calculation!E79=Calculation!$A$149,Calculation!I79,"")</f>
        <v/>
      </c>
      <c r="C79" s="52" t="str">
        <f>IF(Calculation!E79=Calculation!$A$149,Calculation!D79,"")</f>
        <v/>
      </c>
      <c r="D79" s="52" t="str">
        <f>IF(Calculation!E79=Calculation!$A$149,Calculation!C79,"")</f>
        <v/>
      </c>
      <c r="E79" s="52" t="str">
        <f>IF(Calculation!E79=Calculation!$A$149,Calculation!F79,"")</f>
        <v/>
      </c>
      <c r="F79" s="54" t="str">
        <f>IF(Calculation!E79=Calculation!$A$149,Calculation!G79,"")</f>
        <v/>
      </c>
      <c r="G79" s="54" t="str">
        <f>IF(Calculation!E79=Calculation!$A$149,Calculation!H79,"")</f>
        <v/>
      </c>
      <c r="H79" s="55"/>
    </row>
    <row r="80" ht="21.75" customHeight="1">
      <c r="A80" s="52" t="str">
        <f>IF(Calculation!E80=Calculation!$A$149,Calculation!B80,"")</f>
        <v/>
      </c>
      <c r="B80" s="53" t="str">
        <f>IF(Calculation!E80=Calculation!$A$149,Calculation!I80,"")</f>
        <v/>
      </c>
      <c r="C80" s="52" t="str">
        <f>IF(Calculation!E80=Calculation!$A$149,Calculation!D80,"")</f>
        <v/>
      </c>
      <c r="D80" s="52" t="str">
        <f>IF(Calculation!E80=Calculation!$A$149,Calculation!C80,"")</f>
        <v/>
      </c>
      <c r="E80" s="52" t="str">
        <f>IF(Calculation!E80=Calculation!$A$149,Calculation!F80,"")</f>
        <v/>
      </c>
      <c r="F80" s="54" t="str">
        <f>IF(Calculation!E80=Calculation!$A$149,Calculation!G80,"")</f>
        <v/>
      </c>
      <c r="G80" s="54" t="str">
        <f>IF(Calculation!E80=Calculation!$A$149,Calculation!H80,"")</f>
        <v/>
      </c>
      <c r="H80" s="55"/>
    </row>
    <row r="81" ht="20.25" customHeight="1">
      <c r="A81" s="52" t="str">
        <f>IF(Calculation!E81=Calculation!$A$149,Calculation!B81,"")</f>
        <v/>
      </c>
      <c r="B81" s="53" t="str">
        <f>IF(Calculation!E81=Calculation!$A$149,Calculation!I81,"")</f>
        <v/>
      </c>
      <c r="C81" s="52" t="str">
        <f>IF(Calculation!E81=Calculation!$A$149,Calculation!D81,"")</f>
        <v/>
      </c>
      <c r="D81" s="52" t="str">
        <f>IF(Calculation!E81=Calculation!$A$149,Calculation!C81,"")</f>
        <v/>
      </c>
      <c r="E81" s="52" t="str">
        <f>IF(Calculation!E81=Calculation!$A$149,Calculation!F81,"")</f>
        <v/>
      </c>
      <c r="F81" s="54" t="str">
        <f>IF(Calculation!E81=Calculation!$A$149,Calculation!G81,"")</f>
        <v/>
      </c>
      <c r="G81" s="54" t="str">
        <f>IF(Calculation!E81=Calculation!$A$149,Calculation!H81,"")</f>
        <v/>
      </c>
      <c r="H81" s="55"/>
    </row>
    <row r="82">
      <c r="A82" s="52" t="str">
        <f>IF(Calculation!E82=Calculation!$A$149,Calculation!B82,"")</f>
        <v/>
      </c>
      <c r="B82" s="53" t="str">
        <f>IF(Calculation!E82=Calculation!$A$149,Calculation!I82,"")</f>
        <v/>
      </c>
      <c r="C82" s="52" t="str">
        <f>IF(Calculation!E82=Calculation!$A$149,Calculation!D82,"")</f>
        <v/>
      </c>
      <c r="D82" s="52" t="str">
        <f>IF(Calculation!E82=Calculation!$A$149,Calculation!C82,"")</f>
        <v/>
      </c>
      <c r="E82" s="52" t="str">
        <f>IF(Calculation!E82=Calculation!$A$149,Calculation!F82,"")</f>
        <v/>
      </c>
      <c r="F82" s="54" t="str">
        <f>IF(Calculation!E82=Calculation!$A$149,Calculation!G82,"")</f>
        <v/>
      </c>
      <c r="G82" s="54" t="str">
        <f>IF(Calculation!E82=Calculation!$A$149,Calculation!H82,"")</f>
        <v/>
      </c>
      <c r="H82" s="55"/>
    </row>
    <row r="83">
      <c r="A83" s="52" t="str">
        <f>IF(Calculation!E83=Calculation!$A$149,Calculation!B83,"")</f>
        <v/>
      </c>
      <c r="B83" s="53" t="str">
        <f>IF(Calculation!E83=Calculation!$A$149,Calculation!I83,"")</f>
        <v/>
      </c>
      <c r="C83" s="52" t="str">
        <f>IF(Calculation!E83=Calculation!$A$149,Calculation!D83,"")</f>
        <v/>
      </c>
      <c r="D83" s="52" t="str">
        <f>IF(Calculation!E83=Calculation!$A$149,Calculation!C83,"")</f>
        <v/>
      </c>
      <c r="E83" s="52" t="str">
        <f>IF(Calculation!E83=Calculation!$A$149,Calculation!F83,"")</f>
        <v/>
      </c>
      <c r="F83" s="54" t="str">
        <f>IF(Calculation!E83=Calculation!$A$149,Calculation!G83,"")</f>
        <v/>
      </c>
      <c r="G83" s="54" t="str">
        <f>IF(Calculation!E83=Calculation!$A$149,Calculation!H83,"")</f>
        <v/>
      </c>
      <c r="H83" s="55"/>
    </row>
    <row r="84">
      <c r="A84" s="52" t="str">
        <f>IF(Calculation!E84=Calculation!$A$149,Calculation!B84,"")</f>
        <v/>
      </c>
      <c r="B84" s="53" t="str">
        <f>IF(Calculation!E84=Calculation!$A$149,Calculation!I84,"")</f>
        <v/>
      </c>
      <c r="C84" s="52" t="str">
        <f>IF(Calculation!E84=Calculation!$A$149,Calculation!D84,"")</f>
        <v/>
      </c>
      <c r="D84" s="52" t="str">
        <f>IF(Calculation!E84=Calculation!$A$149,Calculation!C84,"")</f>
        <v/>
      </c>
      <c r="E84" s="52" t="str">
        <f>IF(Calculation!E84=Calculation!$A$149,Calculation!F84,"")</f>
        <v/>
      </c>
      <c r="F84" s="54" t="str">
        <f>IF(Calculation!E84=Calculation!$A$149,Calculation!G84,"")</f>
        <v/>
      </c>
      <c r="G84" s="54" t="str">
        <f>IF(Calculation!E84=Calculation!$A$149,Calculation!H84,"")</f>
        <v/>
      </c>
      <c r="H84" s="55"/>
    </row>
    <row r="85">
      <c r="A85" s="52" t="str">
        <f>IF(Calculation!E85=Calculation!$A$149,Calculation!B85,"")</f>
        <v/>
      </c>
      <c r="B85" s="53" t="str">
        <f>IF(Calculation!E85=Calculation!$A$149,Calculation!I85,"")</f>
        <v/>
      </c>
      <c r="C85" s="52" t="str">
        <f>IF(Calculation!E85=Calculation!$A$149,Calculation!D85,"")</f>
        <v/>
      </c>
      <c r="D85" s="52" t="str">
        <f>IF(Calculation!E85=Calculation!$A$149,Calculation!C85,"")</f>
        <v/>
      </c>
      <c r="E85" s="52" t="str">
        <f>IF(Calculation!E85=Calculation!$A$149,Calculation!F85,"")</f>
        <v/>
      </c>
      <c r="F85" s="54" t="str">
        <f>IF(Calculation!E85=Calculation!$A$149,Calculation!G85,"")</f>
        <v/>
      </c>
      <c r="G85" s="54" t="str">
        <f>IF(Calculation!E85=Calculation!$A$149,Calculation!H85,"")</f>
        <v/>
      </c>
      <c r="H85" s="55"/>
    </row>
    <row r="86">
      <c r="A86" s="52" t="str">
        <f>IF(Calculation!E86=Calculation!$A$149,Calculation!B86,"")</f>
        <v/>
      </c>
      <c r="B86" s="53" t="str">
        <f>IF(Calculation!E86=Calculation!$A$149,Calculation!I86,"")</f>
        <v/>
      </c>
      <c r="C86" s="52" t="str">
        <f>IF(Calculation!E86=Calculation!$A$149,Calculation!D86,"")</f>
        <v/>
      </c>
      <c r="D86" s="52" t="str">
        <f>IF(Calculation!E86=Calculation!$A$149,Calculation!C86,"")</f>
        <v/>
      </c>
      <c r="E86" s="52" t="str">
        <f>IF(Calculation!E86=Calculation!$A$149,Calculation!F86,"")</f>
        <v/>
      </c>
      <c r="F86" s="54" t="str">
        <f>IF(Calculation!E86=Calculation!$A$149,Calculation!G86,"")</f>
        <v/>
      </c>
      <c r="G86" s="54" t="str">
        <f>IF(Calculation!E86=Calculation!$A$149,Calculation!H86,"")</f>
        <v/>
      </c>
      <c r="H86" s="55"/>
    </row>
    <row r="87">
      <c r="A87" s="52" t="str">
        <f>IF(Calculation!E87=Calculation!$A$149,Calculation!B87,"")</f>
        <v/>
      </c>
      <c r="B87" s="53" t="str">
        <f>IF(Calculation!E87=Calculation!$A$149,Calculation!I87,"")</f>
        <v/>
      </c>
      <c r="C87" s="52" t="str">
        <f>IF(Calculation!E87=Calculation!$A$149,Calculation!D87,"")</f>
        <v/>
      </c>
      <c r="D87" s="52" t="str">
        <f>IF(Calculation!E87=Calculation!$A$149,Calculation!C87,"")</f>
        <v/>
      </c>
      <c r="E87" s="52" t="str">
        <f>IF(Calculation!E87=Calculation!$A$149,Calculation!F87,"")</f>
        <v/>
      </c>
      <c r="F87" s="54" t="str">
        <f>IF(Calculation!E87=Calculation!$A$149,Calculation!G87,"")</f>
        <v/>
      </c>
      <c r="G87" s="54" t="str">
        <f>IF(Calculation!E87=Calculation!$A$149,Calculation!H87,"")</f>
        <v/>
      </c>
      <c r="H87" s="55"/>
    </row>
    <row r="88">
      <c r="A88" s="52" t="str">
        <f>IF(Calculation!E88=Calculation!$A$149,Calculation!B88,"")</f>
        <v/>
      </c>
      <c r="B88" s="53" t="str">
        <f>IF(Calculation!E88=Calculation!$A$149,Calculation!I88,"")</f>
        <v/>
      </c>
      <c r="C88" s="52" t="str">
        <f>IF(Calculation!E88=Calculation!$A$149,Calculation!D88,"")</f>
        <v/>
      </c>
      <c r="D88" s="52" t="str">
        <f>IF(Calculation!E88=Calculation!$A$149,Calculation!C88,"")</f>
        <v/>
      </c>
      <c r="E88" s="52" t="str">
        <f>IF(Calculation!E88=Calculation!$A$149,Calculation!F88,"")</f>
        <v/>
      </c>
      <c r="F88" s="54" t="str">
        <f>IF(Calculation!E88=Calculation!$A$149,Calculation!G88,"")</f>
        <v/>
      </c>
      <c r="G88" s="54" t="str">
        <f>IF(Calculation!E88=Calculation!$A$149,Calculation!H88,"")</f>
        <v/>
      </c>
      <c r="H88" s="55"/>
    </row>
    <row r="89">
      <c r="A89" s="52" t="str">
        <f>IF(Calculation!E89=Calculation!$A$149,Calculation!B89,"")</f>
        <v/>
      </c>
      <c r="B89" s="53" t="str">
        <f>IF(Calculation!E89=Calculation!$A$149,Calculation!I89,"")</f>
        <v/>
      </c>
      <c r="C89" s="52" t="str">
        <f>IF(Calculation!E89=Calculation!$A$149,Calculation!D89,"")</f>
        <v/>
      </c>
      <c r="D89" s="52" t="str">
        <f>IF(Calculation!E89=Calculation!$A$149,Calculation!C89,"")</f>
        <v/>
      </c>
      <c r="E89" s="52" t="str">
        <f>IF(Calculation!E89=Calculation!$A$149,Calculation!F89,"")</f>
        <v/>
      </c>
      <c r="F89" s="54" t="str">
        <f>IF(Calculation!E89=Calculation!$A$149,Calculation!G89,"")</f>
        <v/>
      </c>
      <c r="G89" s="54" t="str">
        <f>IF(Calculation!E89=Calculation!$A$149,Calculation!H89,"")</f>
        <v/>
      </c>
      <c r="H89" s="55"/>
    </row>
    <row r="90">
      <c r="A90" s="52" t="str">
        <f>IF(Calculation!E90=Calculation!$A$149,Calculation!B90,"")</f>
        <v/>
      </c>
      <c r="B90" s="53" t="str">
        <f>IF(Calculation!E90=Calculation!$A$149,Calculation!I90,"")</f>
        <v/>
      </c>
      <c r="C90" s="52" t="str">
        <f>IF(Calculation!E90=Calculation!$A$149,Calculation!D90,"")</f>
        <v/>
      </c>
      <c r="D90" s="52" t="str">
        <f>IF(Calculation!E90=Calculation!$A$149,Calculation!C90,"")</f>
        <v/>
      </c>
      <c r="E90" s="52" t="str">
        <f>IF(Calculation!E90=Calculation!$A$149,Calculation!F90,"")</f>
        <v/>
      </c>
      <c r="F90" s="54" t="str">
        <f>IF(Calculation!E90=Calculation!$A$149,Calculation!G90,"")</f>
        <v/>
      </c>
      <c r="G90" s="54" t="str">
        <f>IF(Calculation!E90=Calculation!$A$149,Calculation!H90,"")</f>
        <v/>
      </c>
      <c r="H90" s="55"/>
    </row>
    <row r="91">
      <c r="A91" s="52" t="str">
        <f>IF(Calculation!E91=Calculation!$A$149,Calculation!B91,"")</f>
        <v/>
      </c>
      <c r="B91" s="53" t="str">
        <f>IF(Calculation!E91=Calculation!$A$149,Calculation!I91,"")</f>
        <v/>
      </c>
      <c r="C91" s="52" t="str">
        <f>IF(Calculation!E91=Calculation!$A$149,Calculation!D91,"")</f>
        <v/>
      </c>
      <c r="D91" s="52" t="str">
        <f>IF(Calculation!E91=Calculation!$A$149,Calculation!C91,"")</f>
        <v/>
      </c>
      <c r="E91" s="52" t="str">
        <f>IF(Calculation!E91=Calculation!$A$149,Calculation!F91,"")</f>
        <v/>
      </c>
      <c r="F91" s="54" t="str">
        <f>IF(Calculation!E91=Calculation!$A$149,Calculation!G91,"")</f>
        <v/>
      </c>
      <c r="G91" s="54" t="str">
        <f>IF(Calculation!E91=Calculation!$A$149,Calculation!H91,"")</f>
        <v/>
      </c>
      <c r="H91" s="55"/>
    </row>
    <row r="92">
      <c r="A92" s="52" t="str">
        <f>IF(Calculation!E92=Calculation!$A$149,Calculation!B92,"")</f>
        <v/>
      </c>
      <c r="B92" s="53" t="str">
        <f>IF(Calculation!E92=Calculation!$A$149,Calculation!I92,"")</f>
        <v/>
      </c>
      <c r="C92" s="52" t="str">
        <f>IF(Calculation!E92=Calculation!$A$149,Calculation!D92,"")</f>
        <v/>
      </c>
      <c r="D92" s="52" t="str">
        <f>IF(Calculation!E92=Calculation!$A$149,Calculation!C92,"")</f>
        <v/>
      </c>
      <c r="E92" s="52" t="str">
        <f>IF(Calculation!E92=Calculation!$A$149,Calculation!F92,"")</f>
        <v/>
      </c>
      <c r="F92" s="54" t="str">
        <f>IF(Calculation!E92=Calculation!$A$149,Calculation!G92,"")</f>
        <v/>
      </c>
      <c r="G92" s="54" t="str">
        <f>IF(Calculation!E92=Calculation!$A$149,Calculation!H92,"")</f>
        <v/>
      </c>
      <c r="H92" s="55"/>
    </row>
    <row r="93">
      <c r="A93" s="52" t="str">
        <f>IF(Calculation!E93=Calculation!$A$149,Calculation!B93,"")</f>
        <v/>
      </c>
      <c r="B93" s="53" t="str">
        <f>IF(Calculation!E93=Calculation!$A$149,Calculation!I93,"")</f>
        <v/>
      </c>
      <c r="C93" s="52" t="str">
        <f>IF(Calculation!E93=Calculation!$A$149,Calculation!D93,"")</f>
        <v/>
      </c>
      <c r="D93" s="52" t="str">
        <f>IF(Calculation!E93=Calculation!$A$149,Calculation!C93,"")</f>
        <v/>
      </c>
      <c r="E93" s="52" t="str">
        <f>IF(Calculation!E93=Calculation!$A$149,Calculation!F93,"")</f>
        <v/>
      </c>
      <c r="F93" s="54" t="str">
        <f>IF(Calculation!E93=Calculation!$A$149,Calculation!G93,"")</f>
        <v/>
      </c>
      <c r="G93" s="54" t="str">
        <f>IF(Calculation!E93=Calculation!$A$149,Calculation!H93,"")</f>
        <v/>
      </c>
      <c r="H93" s="55"/>
    </row>
    <row r="94">
      <c r="A94" s="52" t="str">
        <f>IF(Calculation!E94=Calculation!$A$149,Calculation!B94,"")</f>
        <v/>
      </c>
      <c r="B94" s="53" t="str">
        <f>IF(Calculation!E94=Calculation!$A$149,Calculation!I94,"")</f>
        <v/>
      </c>
      <c r="C94" s="52" t="str">
        <f>IF(Calculation!E94=Calculation!$A$149,Calculation!D94,"")</f>
        <v/>
      </c>
      <c r="D94" s="52" t="str">
        <f>IF(Calculation!E94=Calculation!$A$149,Calculation!C94,"")</f>
        <v/>
      </c>
      <c r="E94" s="52" t="str">
        <f>IF(Calculation!E94=Calculation!$A$149,Calculation!F94,"")</f>
        <v/>
      </c>
      <c r="F94" s="54" t="str">
        <f>IF(Calculation!E94=Calculation!$A$149,Calculation!G94,"")</f>
        <v/>
      </c>
      <c r="G94" s="54" t="str">
        <f>IF(Calculation!E94=Calculation!$A$149,Calculation!H94,"")</f>
        <v/>
      </c>
      <c r="H94" s="55"/>
    </row>
    <row r="95">
      <c r="A95" s="57">
        <f>IF(Calculation!E95=Calculation!$A$149,Calculation!B95,"")</f>
        <v>45468</v>
      </c>
      <c r="B95" s="53">
        <f>IF(Calculation!E95=Calculation!$A$149,Calculation!I95,"")</f>
        <v>45968</v>
      </c>
      <c r="C95" s="52" t="str">
        <f>IF(Calculation!E95=Calculation!$A$149,Calculation!D95,"")</f>
        <v>Vishnu Kalpamangalam</v>
      </c>
      <c r="D95" s="52" t="str">
        <f>IF(Calculation!E95=Calculation!$A$149,Calculation!C95,"")</f>
        <v>Short video design</v>
      </c>
      <c r="E95" s="52">
        <f>IF(Calculation!E95=Calculation!$A$149,Calculation!F95,"")</f>
        <v>4</v>
      </c>
      <c r="F95" s="54">
        <f>IF(Calculation!E95=Calculation!$A$149,Calculation!G95,"")</f>
        <v>35</v>
      </c>
      <c r="G95" s="54">
        <f>IF(Calculation!E95=Calculation!$A$149,Calculation!H95,"")</f>
        <v>140</v>
      </c>
      <c r="H95" s="55"/>
    </row>
    <row r="96">
      <c r="A96" s="52" t="str">
        <f>IF(Calculation!E96=Calculation!$A$149,Calculation!B96,"")</f>
        <v/>
      </c>
      <c r="B96" s="53" t="str">
        <f>IF(Calculation!E96=Calculation!$A$149,Calculation!I96,"")</f>
        <v/>
      </c>
      <c r="C96" s="52" t="str">
        <f>IF(Calculation!E96=Calculation!$A$149,Calculation!D96,"")</f>
        <v/>
      </c>
      <c r="D96" s="52" t="str">
        <f>IF(Calculation!E96=Calculation!$A$149,Calculation!C96,"")</f>
        <v/>
      </c>
      <c r="E96" s="52" t="str">
        <f>IF(Calculation!E96=Calculation!$A$149,Calculation!F96,"")</f>
        <v/>
      </c>
      <c r="F96" s="54" t="str">
        <f>IF(Calculation!E96=Calculation!$A$149,Calculation!G96,"")</f>
        <v/>
      </c>
      <c r="G96" s="54" t="str">
        <f>IF(Calculation!E96=Calculation!$A$149,Calculation!H96,"")</f>
        <v/>
      </c>
      <c r="H96" s="55"/>
    </row>
    <row r="97">
      <c r="A97" s="52" t="str">
        <f>IF(Calculation!E97=Calculation!$A$149,Calculation!B97,"")</f>
        <v/>
      </c>
      <c r="B97" s="53" t="str">
        <f>IF(Calculation!E97=Calculation!$A$149,Calculation!I97,"")</f>
        <v/>
      </c>
      <c r="C97" s="52" t="str">
        <f>IF(Calculation!E97=Calculation!$A$149,Calculation!D97,"")</f>
        <v/>
      </c>
      <c r="D97" s="52" t="str">
        <f>IF(Calculation!E97=Calculation!$A$149,Calculation!C97,"")</f>
        <v/>
      </c>
      <c r="E97" s="52" t="str">
        <f>IF(Calculation!E97=Calculation!$A$149,Calculation!F97,"")</f>
        <v/>
      </c>
      <c r="F97" s="54" t="str">
        <f>IF(Calculation!E97=Calculation!$A$149,Calculation!G97,"")</f>
        <v/>
      </c>
      <c r="G97" s="54" t="str">
        <f>IF(Calculation!E97=Calculation!$A$149,Calculation!H97,"")</f>
        <v/>
      </c>
      <c r="H97" s="55"/>
    </row>
    <row r="98">
      <c r="A98" s="52" t="str">
        <f>IF(Calculation!E98=Calculation!$A$149,Calculation!B98,"")</f>
        <v/>
      </c>
      <c r="B98" s="53" t="str">
        <f>IF(Calculation!E98=Calculation!$A$149,Calculation!I98,"")</f>
        <v/>
      </c>
      <c r="C98" s="52" t="str">
        <f>IF(Calculation!E98=Calculation!$A$149,Calculation!D98,"")</f>
        <v/>
      </c>
      <c r="D98" s="52" t="str">
        <f>IF(Calculation!E98=Calculation!$A$149,Calculation!C98,"")</f>
        <v/>
      </c>
      <c r="E98" s="52" t="str">
        <f>IF(Calculation!E98=Calculation!$A$149,Calculation!F98,"")</f>
        <v/>
      </c>
      <c r="F98" s="54" t="str">
        <f>IF(Calculation!E98=Calculation!$A$149,Calculation!G98,"")</f>
        <v/>
      </c>
      <c r="G98" s="54" t="str">
        <f>IF(Calculation!E98=Calculation!$A$149,Calculation!H98,"")</f>
        <v/>
      </c>
      <c r="H98" s="55"/>
    </row>
    <row r="99">
      <c r="A99" s="52" t="str">
        <f>IF(Calculation!E99=Calculation!$A$149,Calculation!B99,"")</f>
        <v/>
      </c>
      <c r="B99" s="53" t="str">
        <f>IF(Calculation!E99=Calculation!$A$149,Calculation!I99,"")</f>
        <v/>
      </c>
      <c r="C99" s="52" t="str">
        <f>IF(Calculation!E99=Calculation!$A$149,Calculation!D99,"")</f>
        <v/>
      </c>
      <c r="D99" s="52" t="str">
        <f>IF(Calculation!E99=Calculation!$A$149,Calculation!C99,"")</f>
        <v/>
      </c>
      <c r="E99" s="52" t="str">
        <f>IF(Calculation!E99=Calculation!$A$149,Calculation!F99,"")</f>
        <v/>
      </c>
      <c r="F99" s="54" t="str">
        <f>IF(Calculation!E99=Calculation!$A$149,Calculation!G99,"")</f>
        <v/>
      </c>
      <c r="G99" s="54" t="str">
        <f>IF(Calculation!E99=Calculation!$A$149,Calculation!H99,"")</f>
        <v/>
      </c>
      <c r="H99" s="55"/>
    </row>
    <row r="100">
      <c r="A100" s="52" t="str">
        <f>IF(Calculation!E100=Calculation!$A$149,Calculation!B100,"")</f>
        <v/>
      </c>
      <c r="B100" s="53" t="str">
        <f>IF(Calculation!E100=Calculation!$A$149,Calculation!I100,"")</f>
        <v/>
      </c>
      <c r="C100" s="52" t="str">
        <f>IF(Calculation!E100=Calculation!$A$149,Calculation!D100,"")</f>
        <v/>
      </c>
      <c r="D100" s="52" t="str">
        <f>IF(Calculation!E100=Calculation!$A$149,Calculation!C100,"")</f>
        <v/>
      </c>
      <c r="E100" s="52" t="str">
        <f>IF(Calculation!E100=Calculation!$A$149,Calculation!F100,"")</f>
        <v/>
      </c>
      <c r="F100" s="54" t="str">
        <f>IF(Calculation!E100=Calculation!$A$149,Calculation!G100,"")</f>
        <v/>
      </c>
      <c r="G100" s="54" t="str">
        <f>IF(Calculation!E100=Calculation!$A$149,Calculation!H100,"")</f>
        <v/>
      </c>
      <c r="H100" s="55"/>
    </row>
    <row r="101">
      <c r="A101" s="52" t="str">
        <f>IF(Calculation!E101=Calculation!$A$149,Calculation!B101,"")</f>
        <v/>
      </c>
      <c r="B101" s="53" t="str">
        <f>IF(Calculation!E101=Calculation!$A$149,Calculation!I101,"")</f>
        <v/>
      </c>
      <c r="C101" s="52" t="str">
        <f>IF(Calculation!E101=Calculation!$A$149,Calculation!D101,"")</f>
        <v/>
      </c>
      <c r="D101" s="52" t="str">
        <f>IF(Calculation!E101=Calculation!$A$149,Calculation!C101,"")</f>
        <v/>
      </c>
      <c r="E101" s="52" t="str">
        <f>IF(Calculation!E101=Calculation!$A$149,Calculation!F101,"")</f>
        <v/>
      </c>
      <c r="F101" s="54" t="str">
        <f>IF(Calculation!E101=Calculation!$A$149,Calculation!G101,"")</f>
        <v/>
      </c>
      <c r="G101" s="54" t="str">
        <f>IF(Calculation!E101=Calculation!$A$149,Calculation!H101,"")</f>
        <v/>
      </c>
      <c r="H101" s="55"/>
    </row>
    <row r="102">
      <c r="A102" s="52" t="str">
        <f>IF(Calculation!E102=Calculation!$A$149,Calculation!B102,"")</f>
        <v/>
      </c>
      <c r="B102" s="53" t="str">
        <f>IF(Calculation!E102=Calculation!$A$149,Calculation!I102,"")</f>
        <v/>
      </c>
      <c r="C102" s="52" t="str">
        <f>IF(Calculation!E102=Calculation!$A$149,Calculation!D102,"")</f>
        <v/>
      </c>
      <c r="D102" s="52" t="str">
        <f>IF(Calculation!E102=Calculation!$A$149,Calculation!C102,"")</f>
        <v/>
      </c>
      <c r="E102" s="52" t="str">
        <f>IF(Calculation!E102=Calculation!$A$149,Calculation!F102,"")</f>
        <v/>
      </c>
      <c r="F102" s="54" t="str">
        <f>IF(Calculation!E102=Calculation!$A$149,Calculation!G102,"")</f>
        <v/>
      </c>
      <c r="G102" s="54" t="str">
        <f>IF(Calculation!E102=Calculation!$A$149,Calculation!H102,"")</f>
        <v/>
      </c>
      <c r="H102" s="55"/>
    </row>
    <row r="103">
      <c r="A103" s="52" t="str">
        <f>IF(Calculation!E103=Calculation!$A$149,Calculation!B103,"")</f>
        <v/>
      </c>
      <c r="B103" s="53" t="str">
        <f>IF(Calculation!E103=Calculation!$A$149,Calculation!I103,"")</f>
        <v/>
      </c>
      <c r="C103" s="52" t="str">
        <f>IF(Calculation!E103=Calculation!$A$149,Calculation!D103,"")</f>
        <v/>
      </c>
      <c r="D103" s="52" t="str">
        <f>IF(Calculation!E103=Calculation!$A$149,Calculation!C103,"")</f>
        <v/>
      </c>
      <c r="E103" s="52" t="str">
        <f>IF(Calculation!E103=Calculation!$A$149,Calculation!F103,"")</f>
        <v/>
      </c>
      <c r="F103" s="54" t="str">
        <f>IF(Calculation!E103=Calculation!$A$149,Calculation!G103,"")</f>
        <v/>
      </c>
      <c r="G103" s="54" t="str">
        <f>IF(Calculation!E103=Calculation!$A$149,Calculation!H103,"")</f>
        <v/>
      </c>
      <c r="H103" s="55"/>
    </row>
    <row r="104">
      <c r="A104" s="52" t="str">
        <f>IF(Calculation!E104=Calculation!$A$149,Calculation!B104,"")</f>
        <v/>
      </c>
      <c r="B104" s="53" t="str">
        <f>IF(Calculation!E104=Calculation!$A$149,Calculation!I104,"")</f>
        <v/>
      </c>
      <c r="C104" s="52" t="str">
        <f>IF(Calculation!E104=Calculation!$A$149,Calculation!D104,"")</f>
        <v/>
      </c>
      <c r="D104" s="52" t="str">
        <f>IF(Calculation!E104=Calculation!$A$149,Calculation!C104,"")</f>
        <v/>
      </c>
      <c r="E104" s="52" t="str">
        <f>IF(Calculation!E104=Calculation!$A$149,Calculation!F104,"")</f>
        <v/>
      </c>
      <c r="F104" s="54" t="str">
        <f>IF(Calculation!E104=Calculation!$A$149,Calculation!G104,"")</f>
        <v/>
      </c>
      <c r="G104" s="54" t="str">
        <f>IF(Calculation!E104=Calculation!$A$149,Calculation!H104,"")</f>
        <v/>
      </c>
      <c r="H104" s="55"/>
    </row>
    <row r="105">
      <c r="A105" s="52" t="str">
        <f>IF(Calculation!E105=Calculation!$A$149,Calculation!B105,"")</f>
        <v/>
      </c>
      <c r="B105" s="53" t="str">
        <f>IF(Calculation!E105=Calculation!$A$149,Calculation!I105,"")</f>
        <v/>
      </c>
      <c r="C105" s="52" t="str">
        <f>IF(Calculation!E105=Calculation!$A$149,Calculation!D105,"")</f>
        <v/>
      </c>
      <c r="D105" s="52" t="str">
        <f>IF(Calculation!E105=Calculation!$A$149,Calculation!C105,"")</f>
        <v/>
      </c>
      <c r="E105" s="52" t="str">
        <f>IF(Calculation!E105=Calculation!$A$149,Calculation!F105,"")</f>
        <v/>
      </c>
      <c r="F105" s="54" t="str">
        <f>IF(Calculation!E105=Calculation!$A$149,Calculation!G105,"")</f>
        <v/>
      </c>
      <c r="G105" s="54" t="str">
        <f>IF(Calculation!E105=Calculation!$A$149,Calculation!H105,"")</f>
        <v/>
      </c>
      <c r="H105" s="55"/>
    </row>
    <row r="106">
      <c r="A106" s="52" t="str">
        <f>IF(Calculation!E106=Calculation!$A$149,Calculation!B106,"")</f>
        <v/>
      </c>
      <c r="B106" s="53" t="str">
        <f>IF(Calculation!E106=Calculation!$A$149,Calculation!I106,"")</f>
        <v/>
      </c>
      <c r="C106" s="52" t="str">
        <f>IF(Calculation!E106=Calculation!$A$149,Calculation!D106,"")</f>
        <v/>
      </c>
      <c r="D106" s="52" t="str">
        <f>IF(Calculation!E106=Calculation!$A$149,Calculation!C106,"")</f>
        <v/>
      </c>
      <c r="E106" s="52" t="str">
        <f>IF(Calculation!E106=Calculation!$A$149,Calculation!F106,"")</f>
        <v/>
      </c>
      <c r="F106" s="54" t="str">
        <f>IF(Calculation!E106=Calculation!$A$149,Calculation!G106,"")</f>
        <v/>
      </c>
      <c r="G106" s="54" t="str">
        <f>IF(Calculation!E106=Calculation!$A$149,Calculation!H106,"")</f>
        <v/>
      </c>
      <c r="H106" s="55"/>
    </row>
    <row r="107">
      <c r="A107" s="52" t="str">
        <f>IF(Calculation!E107=Calculation!$A$149,Calculation!B107,"")</f>
        <v/>
      </c>
      <c r="B107" s="53" t="str">
        <f>IF(Calculation!E107=Calculation!$A$149,Calculation!I107,"")</f>
        <v/>
      </c>
      <c r="C107" s="52" t="str">
        <f>IF(Calculation!E107=Calculation!$A$149,Calculation!D107,"")</f>
        <v/>
      </c>
      <c r="D107" s="52" t="str">
        <f>IF(Calculation!E107=Calculation!$A$149,Calculation!C107,"")</f>
        <v/>
      </c>
      <c r="E107" s="52" t="str">
        <f>IF(Calculation!E107=Calculation!$A$149,Calculation!F107,"")</f>
        <v/>
      </c>
      <c r="F107" s="54" t="str">
        <f>IF(Calculation!E107=Calculation!$A$149,Calculation!G107,"")</f>
        <v/>
      </c>
      <c r="G107" s="54" t="str">
        <f>IF(Calculation!E107=Calculation!$A$149,Calculation!H107,"")</f>
        <v/>
      </c>
      <c r="H107" s="55"/>
    </row>
    <row r="108">
      <c r="A108" s="52" t="str">
        <f>IF(Calculation!E108=Calculation!$A$149,Calculation!B108,"")</f>
        <v/>
      </c>
      <c r="B108" s="53" t="str">
        <f>IF(Calculation!E108=Calculation!$A$149,Calculation!I108,"")</f>
        <v/>
      </c>
      <c r="C108" s="52" t="str">
        <f>IF(Calculation!E108=Calculation!$A$149,Calculation!D108,"")</f>
        <v/>
      </c>
      <c r="D108" s="52" t="str">
        <f>IF(Calculation!E108=Calculation!$A$149,Calculation!C108,"")</f>
        <v/>
      </c>
      <c r="E108" s="52" t="str">
        <f>IF(Calculation!E108=Calculation!$A$149,Calculation!F108,"")</f>
        <v/>
      </c>
      <c r="F108" s="54" t="str">
        <f>IF(Calculation!E108=Calculation!$A$149,Calculation!G108,"")</f>
        <v/>
      </c>
      <c r="G108" s="54" t="str">
        <f>IF(Calculation!E108=Calculation!$A$149,Calculation!H108,"")</f>
        <v/>
      </c>
      <c r="H108" s="55"/>
    </row>
    <row r="109">
      <c r="A109" s="52" t="str">
        <f>IF(Calculation!E109=Calculation!$A$149,Calculation!B109,"")</f>
        <v/>
      </c>
      <c r="B109" s="53" t="str">
        <f>IF(Calculation!E109=Calculation!$A$149,Calculation!I109,"")</f>
        <v/>
      </c>
      <c r="C109" s="52" t="str">
        <f>IF(Calculation!E109=Calculation!$A$149,Calculation!D109,"")</f>
        <v/>
      </c>
      <c r="D109" s="52" t="str">
        <f>IF(Calculation!E109=Calculation!$A$149,Calculation!C109,"")</f>
        <v/>
      </c>
      <c r="E109" s="52" t="str">
        <f>IF(Calculation!E109=Calculation!$A$149,Calculation!F109,"")</f>
        <v/>
      </c>
      <c r="F109" s="54" t="str">
        <f>IF(Calculation!E109=Calculation!$A$149,Calculation!G109,"")</f>
        <v/>
      </c>
      <c r="G109" s="54" t="str">
        <f>IF(Calculation!E109=Calculation!$A$149,Calculation!H109,"")</f>
        <v/>
      </c>
      <c r="H109" s="55"/>
    </row>
    <row r="110">
      <c r="A110" s="52" t="str">
        <f>IF(Calculation!E110=Calculation!$A$149,Calculation!B110,"")</f>
        <v/>
      </c>
      <c r="B110" s="53" t="str">
        <f>IF(Calculation!E110=Calculation!$A$149,Calculation!I110,"")</f>
        <v/>
      </c>
      <c r="C110" s="52" t="str">
        <f>IF(Calculation!E110=Calculation!$A$149,Calculation!D110,"")</f>
        <v/>
      </c>
      <c r="D110" s="52" t="str">
        <f>IF(Calculation!E110=Calculation!$A$149,Calculation!C110,"")</f>
        <v/>
      </c>
      <c r="E110" s="52" t="str">
        <f>IF(Calculation!E110=Calculation!$A$149,Calculation!F110,"")</f>
        <v/>
      </c>
      <c r="F110" s="54" t="str">
        <f>IF(Calculation!E110=Calculation!$A$149,Calculation!G110,"")</f>
        <v/>
      </c>
      <c r="G110" s="54" t="str">
        <f>IF(Calculation!E110=Calculation!$A$149,Calculation!H110,"")</f>
        <v/>
      </c>
      <c r="H110" s="55"/>
    </row>
    <row r="111">
      <c r="A111" s="52" t="str">
        <f>IF(Calculation!E111=Calculation!$A$149,Calculation!B111,"")</f>
        <v/>
      </c>
      <c r="B111" s="53" t="str">
        <f>IF(Calculation!E111=Calculation!$A$149,Calculation!I111,"")</f>
        <v/>
      </c>
      <c r="C111" s="52" t="str">
        <f>IF(Calculation!E111=Calculation!$A$149,Calculation!D111,"")</f>
        <v/>
      </c>
      <c r="D111" s="52" t="str">
        <f>IF(Calculation!E111=Calculation!$A$149,Calculation!C111,"")</f>
        <v/>
      </c>
      <c r="E111" s="52" t="str">
        <f>IF(Calculation!E111=Calculation!$A$149,Calculation!F111,"")</f>
        <v/>
      </c>
      <c r="F111" s="54" t="str">
        <f>IF(Calculation!E111=Calculation!$A$149,Calculation!G111,"")</f>
        <v/>
      </c>
      <c r="G111" s="54" t="str">
        <f>IF(Calculation!E111=Calculation!$A$149,Calculation!H111,"")</f>
        <v/>
      </c>
      <c r="H111" s="55"/>
    </row>
    <row r="112">
      <c r="A112" s="52" t="str">
        <f>IF(Calculation!E112=Calculation!$A$149,Calculation!B112,"")</f>
        <v/>
      </c>
      <c r="B112" s="53" t="str">
        <f>IF(Calculation!E112=Calculation!$A$149,Calculation!I112,"")</f>
        <v/>
      </c>
      <c r="C112" s="52" t="str">
        <f>IF(Calculation!E112=Calculation!$A$149,Calculation!D112,"")</f>
        <v/>
      </c>
      <c r="D112" s="52" t="str">
        <f>IF(Calculation!E112=Calculation!$A$149,Calculation!C112,"")</f>
        <v/>
      </c>
      <c r="E112" s="52" t="str">
        <f>IF(Calculation!E112=Calculation!$A$149,Calculation!F112,"")</f>
        <v/>
      </c>
      <c r="F112" s="54" t="str">
        <f>IF(Calculation!E112=Calculation!$A$149,Calculation!G112,"")</f>
        <v/>
      </c>
      <c r="G112" s="54" t="str">
        <f>IF(Calculation!E112=Calculation!$A$149,Calculation!H112,"")</f>
        <v/>
      </c>
      <c r="H112" s="55"/>
    </row>
    <row r="113">
      <c r="A113" s="52" t="str">
        <f>IF(Calculation!E113=Calculation!$A$149,Calculation!B113,"")</f>
        <v/>
      </c>
      <c r="B113" s="53" t="str">
        <f>IF(Calculation!E113=Calculation!$A$149,Calculation!I113,"")</f>
        <v/>
      </c>
      <c r="C113" s="52" t="str">
        <f>IF(Calculation!E113=Calculation!$A$149,Calculation!D113,"")</f>
        <v/>
      </c>
      <c r="D113" s="52" t="str">
        <f>IF(Calculation!E113=Calculation!$A$149,Calculation!C113,"")</f>
        <v/>
      </c>
      <c r="E113" s="52" t="str">
        <f>IF(Calculation!E113=Calculation!$A$149,Calculation!F113,"")</f>
        <v/>
      </c>
      <c r="F113" s="54" t="str">
        <f>IF(Calculation!E113=Calculation!$A$149,Calculation!G113,"")</f>
        <v/>
      </c>
      <c r="G113" s="54" t="str">
        <f>IF(Calculation!E113=Calculation!$A$149,Calculation!H113,"")</f>
        <v/>
      </c>
      <c r="H113" s="55"/>
    </row>
    <row r="114">
      <c r="A114" s="52" t="str">
        <f>IF(Calculation!E114=Calculation!$A$149,Calculation!B114,"")</f>
        <v/>
      </c>
      <c r="B114" s="53" t="str">
        <f>IF(Calculation!E114=Calculation!$A$149,Calculation!I114,"")</f>
        <v/>
      </c>
      <c r="C114" s="52" t="str">
        <f>IF(Calculation!E114=Calculation!$A$149,Calculation!D114,"")</f>
        <v/>
      </c>
      <c r="D114" s="52" t="str">
        <f>IF(Calculation!E114=Calculation!$A$149,Calculation!C114,"")</f>
        <v/>
      </c>
      <c r="E114" s="52" t="str">
        <f>IF(Calculation!E114=Calculation!$A$149,Calculation!F114,"")</f>
        <v/>
      </c>
      <c r="F114" s="54" t="str">
        <f>IF(Calculation!E114=Calculation!$A$149,Calculation!G114,"")</f>
        <v/>
      </c>
      <c r="G114" s="54" t="str">
        <f>IF(Calculation!E114=Calculation!$A$149,Calculation!H114,"")</f>
        <v/>
      </c>
      <c r="H114" s="55"/>
    </row>
    <row r="115">
      <c r="A115" s="52" t="str">
        <f>IF(Calculation!E115=Calculation!$A$149,Calculation!B115,"")</f>
        <v/>
      </c>
      <c r="B115" s="53" t="str">
        <f>IF(Calculation!E115=Calculation!$A$149,Calculation!I115,"")</f>
        <v/>
      </c>
      <c r="C115" s="52" t="str">
        <f>IF(Calculation!E115=Calculation!$A$149,Calculation!D115,"")</f>
        <v/>
      </c>
      <c r="D115" s="52" t="str">
        <f>IF(Calculation!E115=Calculation!$A$149,Calculation!C115,"")</f>
        <v/>
      </c>
      <c r="E115" s="52" t="str">
        <f>IF(Calculation!E115=Calculation!$A$149,Calculation!F115,"")</f>
        <v/>
      </c>
      <c r="F115" s="54" t="str">
        <f>IF(Calculation!E115=Calculation!$A$149,Calculation!G115,"")</f>
        <v/>
      </c>
      <c r="G115" s="54" t="str">
        <f>IF(Calculation!E115=Calculation!$A$149,Calculation!H115,"")</f>
        <v/>
      </c>
      <c r="H115" s="55"/>
    </row>
    <row r="116">
      <c r="A116" s="52" t="str">
        <f>IF(Calculation!E116=Calculation!$A$149,Calculation!B116,"")</f>
        <v/>
      </c>
      <c r="B116" s="53" t="str">
        <f>IF(Calculation!E116=Calculation!$A$149,Calculation!I116,"")</f>
        <v/>
      </c>
      <c r="C116" s="52" t="str">
        <f>IF(Calculation!E116=Calculation!$A$149,Calculation!D116,"")</f>
        <v/>
      </c>
      <c r="D116" s="52" t="str">
        <f>IF(Calculation!E116=Calculation!$A$149,Calculation!C116,"")</f>
        <v/>
      </c>
      <c r="E116" s="52" t="str">
        <f>IF(Calculation!E116=Calculation!$A$149,Calculation!F116,"")</f>
        <v/>
      </c>
      <c r="F116" s="54" t="str">
        <f>IF(Calculation!E116=Calculation!$A$149,Calculation!G116,"")</f>
        <v/>
      </c>
      <c r="G116" s="54" t="str">
        <f>IF(Calculation!E116=Calculation!$A$149,Calculation!H116,"")</f>
        <v/>
      </c>
      <c r="H116" s="55"/>
    </row>
    <row r="117">
      <c r="A117" s="52" t="str">
        <f>IF(Calculation!E117=Calculation!$A$149,Calculation!B117,"")</f>
        <v/>
      </c>
      <c r="B117" s="53" t="str">
        <f>IF(Calculation!E117=Calculation!$A$149,Calculation!I117,"")</f>
        <v/>
      </c>
      <c r="C117" s="52" t="str">
        <f>IF(Calculation!E117=Calculation!$A$149,Calculation!D117,"")</f>
        <v/>
      </c>
      <c r="D117" s="52" t="str">
        <f>IF(Calculation!E117=Calculation!$A$149,Calculation!C117,"")</f>
        <v/>
      </c>
      <c r="E117" s="52" t="str">
        <f>IF(Calculation!E117=Calculation!$A$149,Calculation!F117,"")</f>
        <v/>
      </c>
      <c r="F117" s="54" t="str">
        <f>IF(Calculation!E117=Calculation!$A$149,Calculation!G117,"")</f>
        <v/>
      </c>
      <c r="G117" s="54" t="str">
        <f>IF(Calculation!E117=Calculation!$A$149,Calculation!H117,"")</f>
        <v/>
      </c>
      <c r="H117" s="55"/>
    </row>
    <row r="118">
      <c r="A118" s="52" t="str">
        <f>IF(Calculation!E118=Calculation!$A$149,Calculation!B118,"")</f>
        <v/>
      </c>
      <c r="B118" s="53" t="str">
        <f>IF(Calculation!E118=Calculation!$A$149,Calculation!I118,"")</f>
        <v/>
      </c>
      <c r="C118" s="52" t="str">
        <f>IF(Calculation!E118=Calculation!$A$149,Calculation!D118,"")</f>
        <v/>
      </c>
      <c r="D118" s="52" t="str">
        <f>IF(Calculation!E118=Calculation!$A$149,Calculation!C118,"")</f>
        <v/>
      </c>
      <c r="E118" s="52" t="str">
        <f>IF(Calculation!E118=Calculation!$A$149,Calculation!F118,"")</f>
        <v/>
      </c>
      <c r="F118" s="54" t="str">
        <f>IF(Calculation!E118=Calculation!$A$149,Calculation!G118,"")</f>
        <v/>
      </c>
      <c r="G118" s="54" t="str">
        <f>IF(Calculation!E118=Calculation!$A$149,Calculation!H118,"")</f>
        <v/>
      </c>
      <c r="H118" s="55"/>
    </row>
    <row r="119">
      <c r="A119" s="52" t="str">
        <f>IF(Calculation!E119=Calculation!$A$149,Calculation!B119,"")</f>
        <v/>
      </c>
      <c r="B119" s="53" t="str">
        <f>IF(Calculation!E119=Calculation!$A$149,Calculation!I119,"")</f>
        <v/>
      </c>
      <c r="C119" s="52" t="str">
        <f>IF(Calculation!E119=Calculation!$A$149,Calculation!D119,"")</f>
        <v/>
      </c>
      <c r="D119" s="52" t="str">
        <f>IF(Calculation!E119=Calculation!$A$149,Calculation!C119,"")</f>
        <v/>
      </c>
      <c r="E119" s="52" t="str">
        <f>IF(Calculation!E119=Calculation!$A$149,Calculation!F119,"")</f>
        <v/>
      </c>
      <c r="F119" s="54" t="str">
        <f>IF(Calculation!E119=Calculation!$A$149,Calculation!G119,"")</f>
        <v/>
      </c>
      <c r="G119" s="54" t="str">
        <f>IF(Calculation!E119=Calculation!$A$149,Calculation!H119,"")</f>
        <v/>
      </c>
      <c r="H119" s="55"/>
    </row>
    <row r="120">
      <c r="A120" s="52" t="str">
        <f>IF(Calculation!E120=Calculation!$A$149,Calculation!B120,"")</f>
        <v/>
      </c>
      <c r="B120" s="53" t="str">
        <f>IF(Calculation!E120=Calculation!$A$149,Calculation!I120,"")</f>
        <v/>
      </c>
      <c r="C120" s="52" t="str">
        <f>IF(Calculation!E120=Calculation!$A$149,Calculation!D120,"")</f>
        <v/>
      </c>
      <c r="D120" s="52" t="str">
        <f>IF(Calculation!E120=Calculation!$A$149,Calculation!C120,"")</f>
        <v/>
      </c>
      <c r="E120" s="52" t="str">
        <f>IF(Calculation!E120=Calculation!$A$149,Calculation!F120,"")</f>
        <v/>
      </c>
      <c r="F120" s="54" t="str">
        <f>IF(Calculation!E120=Calculation!$A$149,Calculation!G120,"")</f>
        <v/>
      </c>
      <c r="G120" s="54" t="str">
        <f>IF(Calculation!E120=Calculation!$A$149,Calculation!H120,"")</f>
        <v/>
      </c>
      <c r="H120" s="55"/>
    </row>
    <row r="121">
      <c r="A121" s="52" t="str">
        <f>IF(Calculation!E121=Calculation!$A$149,Calculation!B121,"")</f>
        <v/>
      </c>
      <c r="B121" s="53" t="str">
        <f>IF(Calculation!E121=Calculation!$A$149,Calculation!I121,"")</f>
        <v/>
      </c>
      <c r="C121" s="52" t="str">
        <f>IF(Calculation!E121=Calculation!$A$149,Calculation!D121,"")</f>
        <v/>
      </c>
      <c r="D121" s="52" t="str">
        <f>IF(Calculation!E121=Calculation!$A$149,Calculation!C121,"")</f>
        <v/>
      </c>
      <c r="E121" s="52" t="str">
        <f>IF(Calculation!E121=Calculation!$A$149,Calculation!F121,"")</f>
        <v/>
      </c>
      <c r="F121" s="54" t="str">
        <f>IF(Calculation!E121=Calculation!$A$149,Calculation!G121,"")</f>
        <v/>
      </c>
      <c r="G121" s="54" t="str">
        <f>IF(Calculation!E121=Calculation!$A$149,Calculation!H121,"")</f>
        <v/>
      </c>
      <c r="H121" s="55"/>
    </row>
    <row r="122">
      <c r="A122" s="52" t="str">
        <f>IF(Calculation!E122=Calculation!$A$149,Calculation!B122,"")</f>
        <v/>
      </c>
      <c r="B122" s="53" t="str">
        <f>IF(Calculation!E122=Calculation!$A$149,Calculation!I122,"")</f>
        <v/>
      </c>
      <c r="C122" s="52" t="str">
        <f>IF(Calculation!E122=Calculation!$A$149,Calculation!D122,"")</f>
        <v/>
      </c>
      <c r="D122" s="52" t="str">
        <f>IF(Calculation!E122=Calculation!$A$149,Calculation!C122,"")</f>
        <v/>
      </c>
      <c r="E122" s="52" t="str">
        <f>IF(Calculation!E122=Calculation!$A$149,Calculation!F122,"")</f>
        <v/>
      </c>
      <c r="F122" s="54" t="str">
        <f>IF(Calculation!E122=Calculation!$A$149,Calculation!G122,"")</f>
        <v/>
      </c>
      <c r="G122" s="54" t="str">
        <f>IF(Calculation!E122=Calculation!$A$149,Calculation!H122,"")</f>
        <v/>
      </c>
      <c r="H122" s="55"/>
    </row>
    <row r="123">
      <c r="A123" s="52" t="str">
        <f>IF(Calculation!E123=Calculation!$A$149,Calculation!B123,"")</f>
        <v/>
      </c>
      <c r="B123" s="53" t="str">
        <f>IF(Calculation!E123=Calculation!$A$149,Calculation!I123,"")</f>
        <v/>
      </c>
      <c r="C123" s="52" t="str">
        <f>IF(Calculation!E123=Calculation!$A$149,Calculation!D123,"")</f>
        <v/>
      </c>
      <c r="D123" s="52" t="str">
        <f>IF(Calculation!E123=Calculation!$A$149,Calculation!C123,"")</f>
        <v/>
      </c>
      <c r="E123" s="52" t="str">
        <f>IF(Calculation!E123=Calculation!$A$149,Calculation!F123,"")</f>
        <v/>
      </c>
      <c r="F123" s="54" t="str">
        <f>IF(Calculation!E123=Calculation!$A$149,Calculation!G123,"")</f>
        <v/>
      </c>
      <c r="G123" s="54" t="str">
        <f>IF(Calculation!E123=Calculation!$A$149,Calculation!H123,"")</f>
        <v/>
      </c>
      <c r="H123" s="55"/>
    </row>
    <row r="124">
      <c r="A124" s="52" t="str">
        <f>IF(Calculation!E124=Calculation!$A$149,Calculation!B124,"")</f>
        <v/>
      </c>
      <c r="B124" s="53" t="str">
        <f>IF(Calculation!E124=Calculation!$A$149,Calculation!I124,"")</f>
        <v/>
      </c>
      <c r="C124" s="52" t="str">
        <f>IF(Calculation!E124=Calculation!$A$149,Calculation!D124,"")</f>
        <v/>
      </c>
      <c r="D124" s="52" t="str">
        <f>IF(Calculation!E124=Calculation!$A$149,Calculation!C124,"")</f>
        <v/>
      </c>
      <c r="E124" s="52" t="str">
        <f>IF(Calculation!E124=Calculation!$A$149,Calculation!F124,"")</f>
        <v/>
      </c>
      <c r="F124" s="54" t="str">
        <f>IF(Calculation!E124=Calculation!$A$149,Calculation!G124,"")</f>
        <v/>
      </c>
      <c r="G124" s="54" t="str">
        <f>IF(Calculation!E124=Calculation!$A$149,Calculation!H124,"")</f>
        <v/>
      </c>
      <c r="H124" s="55"/>
    </row>
    <row r="125">
      <c r="A125" s="52" t="str">
        <f>IF(Calculation!E125=Calculation!$A$149,Calculation!B125,"")</f>
        <v/>
      </c>
      <c r="B125" s="53" t="str">
        <f>IF(Calculation!E125=Calculation!$A$149,Calculation!I125,"")</f>
        <v/>
      </c>
      <c r="C125" s="52" t="str">
        <f>IF(Calculation!E125=Calculation!$A$149,Calculation!D125,"")</f>
        <v/>
      </c>
      <c r="D125" s="52" t="str">
        <f>IF(Calculation!E125=Calculation!$A$149,Calculation!C125,"")</f>
        <v/>
      </c>
      <c r="E125" s="52" t="str">
        <f>IF(Calculation!E125=Calculation!$A$149,Calculation!F125,"")</f>
        <v/>
      </c>
      <c r="F125" s="54" t="str">
        <f>IF(Calculation!E125=Calculation!$A$149,Calculation!G125,"")</f>
        <v/>
      </c>
      <c r="G125" s="54" t="str">
        <f>IF(Calculation!E125=Calculation!$A$149,Calculation!H125,"")</f>
        <v/>
      </c>
      <c r="H125" s="55"/>
    </row>
  </sheetData>
  <mergeCells count="37">
    <mergeCell ref="A1:H1"/>
    <mergeCell ref="L3:O3"/>
    <mergeCell ref="L4:O4"/>
    <mergeCell ref="L5:O5"/>
    <mergeCell ref="L6:N6"/>
    <mergeCell ref="L8:P8"/>
    <mergeCell ref="O9:P9"/>
    <mergeCell ref="L9:N9"/>
    <mergeCell ref="L10:N10"/>
    <mergeCell ref="O10:P10"/>
    <mergeCell ref="Q10:R10"/>
    <mergeCell ref="L11:N11"/>
    <mergeCell ref="O11:P11"/>
    <mergeCell ref="Q11:R11"/>
    <mergeCell ref="O14:P14"/>
    <mergeCell ref="Q14:R14"/>
    <mergeCell ref="L12:N12"/>
    <mergeCell ref="O12:P12"/>
    <mergeCell ref="Q12:R12"/>
    <mergeCell ref="L13:N13"/>
    <mergeCell ref="O13:P13"/>
    <mergeCell ref="Q13:R13"/>
    <mergeCell ref="L14:N14"/>
    <mergeCell ref="L19:O19"/>
    <mergeCell ref="L20:O20"/>
    <mergeCell ref="L21:O21"/>
    <mergeCell ref="L22:O22"/>
    <mergeCell ref="N24:P24"/>
    <mergeCell ref="N25:P25"/>
    <mergeCell ref="Q26:R26"/>
    <mergeCell ref="L15:N15"/>
    <mergeCell ref="O15:P15"/>
    <mergeCell ref="Q15:R15"/>
    <mergeCell ref="L16:N16"/>
    <mergeCell ref="O16:P16"/>
    <mergeCell ref="Q16:R16"/>
    <mergeCell ref="L18:O18"/>
  </mergeCells>
  <dataValidations>
    <dataValidation type="custom" allowBlank="1" showDropDown="1" sqref="O9 Q15">
      <formula1>OR(NOT(ISERROR(DATEVALUE(O9))), AND(ISNUMBER(O9), LEFT(CELL("format", O9))="D"))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9.13"/>
    <col customWidth="1" min="3" max="3" width="18.63"/>
    <col customWidth="1" min="4" max="4" width="17.63"/>
    <col customWidth="1" min="5" max="5" width="18.75"/>
    <col customWidth="1" min="6" max="6" width="19.25"/>
    <col customWidth="1" min="7" max="8" width="17.38"/>
    <col customWidth="1" min="9" max="9" width="15.13"/>
  </cols>
  <sheetData>
    <row r="1" ht="42.0" customHeight="1">
      <c r="A1" s="49" t="s">
        <v>84</v>
      </c>
      <c r="I1" s="50"/>
      <c r="L1" s="59"/>
      <c r="M1" s="59"/>
      <c r="N1" s="59"/>
      <c r="O1" s="60"/>
      <c r="P1" s="59"/>
      <c r="Q1" s="59"/>
      <c r="R1" s="59"/>
      <c r="S1" s="59"/>
      <c r="T1" s="61"/>
    </row>
    <row r="2" ht="29.25" customHeight="1">
      <c r="A2" s="51" t="s">
        <v>45</v>
      </c>
      <c r="B2" s="51" t="s">
        <v>46</v>
      </c>
      <c r="C2" s="51" t="s">
        <v>47</v>
      </c>
      <c r="D2" s="51" t="s">
        <v>48</v>
      </c>
      <c r="E2" s="51" t="s">
        <v>49</v>
      </c>
      <c r="F2" s="51" t="s">
        <v>50</v>
      </c>
      <c r="G2" s="51" t="s">
        <v>51</v>
      </c>
      <c r="H2" s="51" t="s">
        <v>52</v>
      </c>
      <c r="L2" s="62"/>
      <c r="M2" s="62"/>
      <c r="N2" s="62"/>
      <c r="O2" s="63"/>
      <c r="P2" s="62"/>
      <c r="Q2" s="62"/>
      <c r="R2" s="62"/>
      <c r="S2" s="62"/>
      <c r="T2" s="64"/>
    </row>
    <row r="3" ht="18.75" customHeight="1">
      <c r="A3" s="57">
        <f>IF(Calculation!E3=Calculation!$A$141,Calculation!B3,"")</f>
        <v>45456</v>
      </c>
      <c r="B3" s="53">
        <f>IF(Calculation!E3=Calculation!$A$141,Calculation!I3,"")</f>
        <v>45486</v>
      </c>
      <c r="C3" s="52" t="str">
        <f>IF(Calculation!E3=Calculation!$A$141,Calculation!D3,"")</f>
        <v>Anu Shigha</v>
      </c>
      <c r="D3" s="52" t="str">
        <f>IF(Calculation!E3=Calculation!$A$141,Calculation!C3,"")</f>
        <v>Short video design</v>
      </c>
      <c r="E3" s="52">
        <f>IF(Calculation!E3=Calculation!$A$141,Calculation!F3,"")</f>
        <v>2</v>
      </c>
      <c r="F3" s="54">
        <f>IF(Calculation!E3=Calculation!$A$141,Calculation!G3,"")</f>
        <v>312.5</v>
      </c>
      <c r="G3" s="54">
        <f>IF(Calculation!E3=Calculation!$A$141,Calculation!H3,"")</f>
        <v>625</v>
      </c>
      <c r="H3" s="110">
        <f>SUMPRODUCT(((Calculation!E3:E125=Calculation!$A$141)+(Calculation!D3:D125=Calculation!$A$141)&gt;0)*(Calculation!K3:K125))</f>
        <v>3770</v>
      </c>
      <c r="L3" s="65" t="s">
        <v>53</v>
      </c>
      <c r="P3" s="62"/>
      <c r="Q3" s="62"/>
      <c r="R3" s="62"/>
      <c r="S3" s="62"/>
      <c r="T3" s="64"/>
    </row>
    <row r="4" ht="20.25" customHeight="1">
      <c r="A4" s="57">
        <f>IF(Calculation!E4=Calculation!$A$141,Calculation!B4,"")</f>
        <v>45489</v>
      </c>
      <c r="B4" s="53">
        <f>IF(Calculation!E4=Calculation!$A$141,Calculation!I4,"")</f>
        <v>45447</v>
      </c>
      <c r="C4" s="52" t="str">
        <f>IF(Calculation!E4=Calculation!$A$141,Calculation!D4,"")</f>
        <v>Anu Shigha</v>
      </c>
      <c r="D4" s="52" t="str">
        <f>IF(Calculation!E4=Calculation!$A$141,Calculation!C4,"")</f>
        <v>Short video design</v>
      </c>
      <c r="E4" s="52">
        <f>IF(Calculation!E4=Calculation!$A$141,Calculation!F4,"")</f>
        <v>3</v>
      </c>
      <c r="F4" s="54">
        <f>IF(Calculation!E4=Calculation!$A$141,Calculation!G4,"")</f>
        <v>312.5</v>
      </c>
      <c r="G4" s="54">
        <f>IF(Calculation!E4=Calculation!$A$141,Calculation!H4,"")</f>
        <v>937.5</v>
      </c>
      <c r="H4" s="55"/>
      <c r="L4" s="106" t="s">
        <v>75</v>
      </c>
      <c r="P4" s="62"/>
      <c r="Q4" s="62"/>
      <c r="R4" s="62"/>
      <c r="S4" s="62"/>
      <c r="T4" s="64"/>
    </row>
    <row r="5">
      <c r="A5" s="52" t="str">
        <f>IF(Calculation!E5=Calculation!$A$141,Calculation!B5,"")</f>
        <v/>
      </c>
      <c r="B5" s="53" t="str">
        <f>IF(Calculation!E5=Calculation!$A$141,Calculation!I5,"")</f>
        <v/>
      </c>
      <c r="C5" s="52" t="str">
        <f>IF(Calculation!E5=Calculation!$A$141,Calculation!D5,"")</f>
        <v/>
      </c>
      <c r="D5" s="52" t="str">
        <f>IF(Calculation!E5=Calculation!$A$141,Calculation!C5,"")</f>
        <v/>
      </c>
      <c r="E5" s="52" t="str">
        <f>IF(Calculation!E5=Calculation!$A$141,Calculation!F5,"")</f>
        <v/>
      </c>
      <c r="F5" s="54" t="str">
        <f>IF(Calculation!E5=Calculation!$A$141,Calculation!G5,"")</f>
        <v/>
      </c>
      <c r="G5" s="54" t="str">
        <f>IF(Calculation!E5=Calculation!$A$141,Calculation!H5,"")</f>
        <v/>
      </c>
      <c r="H5" s="55"/>
      <c r="L5" s="107" t="s">
        <v>76</v>
      </c>
      <c r="P5" s="62"/>
      <c r="Q5" s="62"/>
      <c r="R5" s="62"/>
      <c r="S5" s="62"/>
      <c r="T5" s="64"/>
    </row>
    <row r="6">
      <c r="A6" s="52" t="str">
        <f>IF(Calculation!E6=Calculation!$A$141,Calculation!B6,"")</f>
        <v/>
      </c>
      <c r="B6" s="53" t="str">
        <f>IF(Calculation!E6=Calculation!$A$141,Calculation!I6,"")</f>
        <v/>
      </c>
      <c r="C6" s="52" t="str">
        <f>IF(Calculation!E6=Calculation!$A$141,Calculation!D6,"")</f>
        <v/>
      </c>
      <c r="D6" s="52" t="str">
        <f>IF(Calculation!E6=Calculation!$A$141,Calculation!C6,"")</f>
        <v/>
      </c>
      <c r="E6" s="52" t="str">
        <f>IF(Calculation!E6=Calculation!$A$141,Calculation!F6,"")</f>
        <v/>
      </c>
      <c r="F6" s="54" t="str">
        <f>IF(Calculation!E6=Calculation!$A$141,Calculation!G6,"")</f>
        <v/>
      </c>
      <c r="G6" s="54" t="str">
        <f>IF(Calculation!E6=Calculation!$A$141,Calculation!H6,"")</f>
        <v/>
      </c>
      <c r="H6" s="55"/>
      <c r="L6" s="78" t="s">
        <v>77</v>
      </c>
      <c r="O6" s="72"/>
      <c r="P6" s="69"/>
      <c r="Q6" s="69"/>
      <c r="R6" s="69"/>
      <c r="S6" s="69"/>
      <c r="T6" s="70"/>
    </row>
    <row r="7">
      <c r="A7" s="52" t="str">
        <f>IF(Calculation!E7=Calculation!$A$141,Calculation!B7,"")</f>
        <v/>
      </c>
      <c r="B7" s="53" t="str">
        <f>IF(Calculation!E7=Calculation!$A$141,Calculation!I7,"")</f>
        <v/>
      </c>
      <c r="C7" s="52" t="str">
        <f>IF(Calculation!E7=Calculation!$A$141,Calculation!D7,"")</f>
        <v/>
      </c>
      <c r="D7" s="52" t="str">
        <f>IF(Calculation!E7=Calculation!$A$141,Calculation!C7,"")</f>
        <v/>
      </c>
      <c r="E7" s="52" t="str">
        <f>IF(Calculation!E7=Calculation!$A$141,Calculation!F7,"")</f>
        <v/>
      </c>
      <c r="F7" s="54" t="str">
        <f>IF(Calculation!E7=Calculation!$A$141,Calculation!G7,"")</f>
        <v/>
      </c>
      <c r="G7" s="54" t="str">
        <f>IF(Calculation!E7=Calculation!$A$141,Calculation!H7,"")</f>
        <v/>
      </c>
      <c r="H7" s="55"/>
      <c r="L7" s="62"/>
      <c r="M7" s="62"/>
      <c r="N7" s="62"/>
      <c r="O7" s="62"/>
      <c r="P7" s="62"/>
      <c r="Q7" s="62"/>
      <c r="R7" s="62"/>
      <c r="S7" s="62"/>
      <c r="T7" s="64"/>
    </row>
    <row r="8">
      <c r="A8" s="52" t="str">
        <f>IF(Calculation!E8=Calculation!$A$141,Calculation!B8,"")</f>
        <v/>
      </c>
      <c r="B8" s="53" t="str">
        <f>IF(Calculation!E8=Calculation!$A$141,Calculation!I8,"")</f>
        <v/>
      </c>
      <c r="C8" s="52" t="str">
        <f>IF(Calculation!E8=Calculation!$A$141,Calculation!D8,"")</f>
        <v/>
      </c>
      <c r="D8" s="52" t="str">
        <f>IF(Calculation!E8=Calculation!$A$141,Calculation!C8,"")</f>
        <v/>
      </c>
      <c r="E8" s="52" t="str">
        <f>IF(Calculation!E8=Calculation!$A$141,Calculation!F8,"")</f>
        <v/>
      </c>
      <c r="F8" s="54" t="str">
        <f>IF(Calculation!E8=Calculation!$A$141,Calculation!G8,"")</f>
        <v/>
      </c>
      <c r="G8" s="54" t="str">
        <f>IF(Calculation!E8=Calculation!$A$141,Calculation!H8,"")</f>
        <v/>
      </c>
      <c r="H8" s="55"/>
      <c r="L8" s="108" t="s">
        <v>78</v>
      </c>
      <c r="Q8" s="62"/>
      <c r="R8" s="62"/>
      <c r="S8" s="69"/>
      <c r="T8" s="70"/>
    </row>
    <row r="9">
      <c r="A9" s="52" t="str">
        <f>IF(Calculation!E9=Calculation!$A$141,Calculation!B9,"")</f>
        <v/>
      </c>
      <c r="B9" s="53" t="str">
        <f>IF(Calculation!E9=Calculation!$A$141,Calculation!I9,"")</f>
        <v/>
      </c>
      <c r="C9" s="52" t="str">
        <f>IF(Calculation!E9=Calculation!$A$141,Calculation!D9,"")</f>
        <v/>
      </c>
      <c r="D9" s="52" t="str">
        <f>IF(Calculation!E9=Calculation!$A$141,Calculation!C9,"")</f>
        <v/>
      </c>
      <c r="E9" s="52" t="str">
        <f>IF(Calculation!E9=Calculation!$A$141,Calculation!F9,"")</f>
        <v/>
      </c>
      <c r="F9" s="54" t="str">
        <f>IF(Calculation!E9=Calculation!$A$141,Calculation!G9,"")</f>
        <v/>
      </c>
      <c r="G9" s="54" t="str">
        <f>IF(Calculation!E9=Calculation!$A$141,Calculation!H9,"")</f>
        <v/>
      </c>
      <c r="H9" s="55"/>
      <c r="L9" s="74" t="s">
        <v>58</v>
      </c>
      <c r="O9" s="75">
        <v>45462.0</v>
      </c>
      <c r="Q9" s="62"/>
      <c r="R9" s="62"/>
      <c r="S9" s="69"/>
      <c r="T9" s="70"/>
    </row>
    <row r="10">
      <c r="A10" s="52" t="str">
        <f>IF(Calculation!E10=Calculation!$A$141,Calculation!B10,"")</f>
        <v/>
      </c>
      <c r="B10" s="53" t="str">
        <f>IF(Calculation!E10=Calculation!$A$141,Calculation!I10,"")</f>
        <v/>
      </c>
      <c r="C10" s="52" t="str">
        <f>IF(Calculation!E10=Calculation!$A$141,Calculation!D10,"")</f>
        <v/>
      </c>
      <c r="D10" s="52" t="str">
        <f>IF(Calculation!E10=Calculation!$A$141,Calculation!C10,"")</f>
        <v/>
      </c>
      <c r="E10" s="52" t="str">
        <f>IF(Calculation!E10=Calculation!$A$141,Calculation!F10,"")</f>
        <v/>
      </c>
      <c r="F10" s="54" t="str">
        <f>IF(Calculation!E10=Calculation!$A$141,Calculation!G10,"")</f>
        <v/>
      </c>
      <c r="G10" s="54" t="str">
        <f>IF(Calculation!E10=Calculation!$A$141,Calculation!H10,"")</f>
        <v/>
      </c>
      <c r="H10" s="55"/>
      <c r="L10" s="76"/>
      <c r="O10" s="62"/>
      <c r="Q10" s="62"/>
      <c r="S10" s="69"/>
      <c r="T10" s="70"/>
    </row>
    <row r="11">
      <c r="A11" s="52" t="str">
        <f>IF(Calculation!E11=Calculation!$A$141,Calculation!B11,"")</f>
        <v/>
      </c>
      <c r="B11" s="53" t="str">
        <f>IF(Calculation!E11=Calculation!$A$141,Calculation!I11,"")</f>
        <v/>
      </c>
      <c r="C11" s="52" t="str">
        <f>IF(Calculation!E11=Calculation!$A$141,Calculation!D11,"")</f>
        <v/>
      </c>
      <c r="D11" s="52" t="str">
        <f>IF(Calculation!E11=Calculation!$A$141,Calculation!C11,"")</f>
        <v/>
      </c>
      <c r="E11" s="52" t="str">
        <f>IF(Calculation!E11=Calculation!$A$141,Calculation!F11,"")</f>
        <v/>
      </c>
      <c r="F11" s="54" t="str">
        <f>IF(Calculation!E11=Calculation!$A$141,Calculation!G11,"")</f>
        <v/>
      </c>
      <c r="G11" s="54" t="str">
        <f>IF(Calculation!E11=Calculation!$A$141,Calculation!H11,"")</f>
        <v/>
      </c>
      <c r="H11" s="55"/>
      <c r="L11" s="77" t="s">
        <v>59</v>
      </c>
      <c r="O11" s="77" t="s">
        <v>60</v>
      </c>
      <c r="Q11" s="77" t="s">
        <v>61</v>
      </c>
      <c r="S11" s="69"/>
      <c r="T11" s="70"/>
    </row>
    <row r="12">
      <c r="A12" s="52" t="str">
        <f>IF(Calculation!E12=Calculation!$A$141,Calculation!B12,"")</f>
        <v/>
      </c>
      <c r="B12" s="53" t="str">
        <f>IF(Calculation!E12=Calculation!$A$141,Calculation!I12,"")</f>
        <v/>
      </c>
      <c r="C12" s="52" t="str">
        <f>IF(Calculation!E12=Calculation!$A$141,Calculation!D12,"")</f>
        <v/>
      </c>
      <c r="D12" s="52" t="str">
        <f>IF(Calculation!E12=Calculation!$A$141,Calculation!C12,"")</f>
        <v/>
      </c>
      <c r="E12" s="52" t="str">
        <f>IF(Calculation!E12=Calculation!$A$141,Calculation!F12,"")</f>
        <v/>
      </c>
      <c r="F12" s="54" t="str">
        <f>IF(Calculation!E12=Calculation!$A$141,Calculation!G12,"")</f>
        <v/>
      </c>
      <c r="G12" s="54" t="str">
        <f>IF(Calculation!E12=Calculation!$A$141,Calculation!H12,"")</f>
        <v/>
      </c>
      <c r="H12" s="55"/>
      <c r="L12" s="78" t="str">
        <f>Calculation!A137</f>
        <v>Hobo</v>
      </c>
      <c r="O12" s="78" t="str">
        <f>Calculation!A137</f>
        <v>Hobo</v>
      </c>
      <c r="Q12" s="79">
        <v>123456.0</v>
      </c>
      <c r="S12" s="69"/>
      <c r="T12" s="70"/>
    </row>
    <row r="13">
      <c r="A13" s="52" t="str">
        <f>IF(Calculation!E13=Calculation!$A$141,Calculation!B13,"")</f>
        <v/>
      </c>
      <c r="B13" s="53" t="str">
        <f>IF(Calculation!E13=Calculation!$A$141,Calculation!I13,"")</f>
        <v/>
      </c>
      <c r="C13" s="52" t="str">
        <f>IF(Calculation!E13=Calculation!$A$141,Calculation!D13,"")</f>
        <v/>
      </c>
      <c r="D13" s="52" t="str">
        <f>IF(Calculation!E13=Calculation!$A$141,Calculation!C13,"")</f>
        <v/>
      </c>
      <c r="E13" s="52" t="str">
        <f>IF(Calculation!E13=Calculation!$A$141,Calculation!F13,"")</f>
        <v/>
      </c>
      <c r="F13" s="54" t="str">
        <f>IF(Calculation!E13=Calculation!$A$141,Calculation!G13,"")</f>
        <v/>
      </c>
      <c r="G13" s="54" t="str">
        <f>IF(Calculation!E13=Calculation!$A$141,Calculation!H13,"")</f>
        <v/>
      </c>
      <c r="H13" s="55"/>
      <c r="L13" s="78" t="s">
        <v>62</v>
      </c>
      <c r="O13" s="72"/>
      <c r="Q13" s="62"/>
      <c r="S13" s="69"/>
      <c r="T13" s="70"/>
    </row>
    <row r="14">
      <c r="A14" s="52" t="str">
        <f>IF(Calculation!E14=Calculation!$A$141,Calculation!B14,"")</f>
        <v/>
      </c>
      <c r="B14" s="53" t="str">
        <f>IF(Calculation!E14=Calculation!$A$141,Calculation!I14,"")</f>
        <v/>
      </c>
      <c r="C14" s="52" t="str">
        <f>IF(Calculation!E14=Calculation!$A$141,Calculation!D14,"")</f>
        <v/>
      </c>
      <c r="D14" s="52" t="str">
        <f>IF(Calculation!E14=Calculation!$A$141,Calculation!C14,"")</f>
        <v/>
      </c>
      <c r="E14" s="52" t="str">
        <f>IF(Calculation!E14=Calculation!$A$141,Calculation!F14,"")</f>
        <v/>
      </c>
      <c r="F14" s="54" t="str">
        <f>IF(Calculation!E14=Calculation!$A$141,Calculation!G14,"")</f>
        <v/>
      </c>
      <c r="G14" s="54" t="str">
        <f>IF(Calculation!E14=Calculation!$A$141,Calculation!H14,"")</f>
        <v/>
      </c>
      <c r="H14" s="55"/>
      <c r="L14" s="78" t="s">
        <v>63</v>
      </c>
      <c r="O14" s="80" t="s">
        <v>64</v>
      </c>
      <c r="Q14" s="80" t="s">
        <v>65</v>
      </c>
      <c r="S14" s="69"/>
      <c r="T14" s="70"/>
    </row>
    <row r="15">
      <c r="A15" s="52" t="str">
        <f>IF(Calculation!E15=Calculation!$A$141,Calculation!B15,"")</f>
        <v/>
      </c>
      <c r="B15" s="53" t="str">
        <f>IF(Calculation!E15=Calculation!$A$141,Calculation!I15,"")</f>
        <v/>
      </c>
      <c r="C15" s="52" t="str">
        <f>IF(Calculation!E15=Calculation!$A$141,Calculation!D15,"")</f>
        <v/>
      </c>
      <c r="D15" s="52" t="str">
        <f>IF(Calculation!E15=Calculation!$A$141,Calculation!C15,"")</f>
        <v/>
      </c>
      <c r="E15" s="52" t="str">
        <f>IF(Calculation!E15=Calculation!$A$141,Calculation!F15,"")</f>
        <v/>
      </c>
      <c r="F15" s="54" t="str">
        <f>IF(Calculation!E15=Calculation!$A$141,Calculation!G15,"")</f>
        <v/>
      </c>
      <c r="G15" s="54" t="str">
        <f>IF(Calculation!E15=Calculation!$A$141,Calculation!H15,"")</f>
        <v/>
      </c>
      <c r="H15" s="55"/>
      <c r="L15" s="78" t="s">
        <v>66</v>
      </c>
      <c r="O15" s="78" t="s">
        <v>67</v>
      </c>
      <c r="Q15" s="75">
        <v>36531.0</v>
      </c>
      <c r="S15" s="69"/>
      <c r="T15" s="70"/>
    </row>
    <row r="16">
      <c r="A16" s="52" t="str">
        <f>IF(Calculation!E16=Calculation!$A$141,Calculation!B16,"")</f>
        <v/>
      </c>
      <c r="B16" s="53" t="str">
        <f>IF(Calculation!E16=Calculation!$A$141,Calculation!I16,"")</f>
        <v/>
      </c>
      <c r="C16" s="52" t="str">
        <f>IF(Calculation!E16=Calculation!$A$141,Calculation!D16,"")</f>
        <v/>
      </c>
      <c r="D16" s="52" t="str">
        <f>IF(Calculation!E16=Calculation!$A$141,Calculation!C16,"")</f>
        <v/>
      </c>
      <c r="E16" s="52" t="str">
        <f>IF(Calculation!E16=Calculation!$A$141,Calculation!F16,"")</f>
        <v/>
      </c>
      <c r="F16" s="54" t="str">
        <f>IF(Calculation!E16=Calculation!$A$141,Calculation!G16,"")</f>
        <v/>
      </c>
      <c r="G16" s="54" t="str">
        <f>IF(Calculation!E16=Calculation!$A$141,Calculation!H16,"")</f>
        <v/>
      </c>
      <c r="H16" s="55"/>
      <c r="L16" s="81"/>
      <c r="M16" s="82"/>
      <c r="N16" s="82"/>
      <c r="O16" s="81"/>
      <c r="P16" s="82"/>
      <c r="Q16" s="81"/>
      <c r="R16" s="82"/>
      <c r="S16" s="62"/>
      <c r="T16" s="64"/>
    </row>
    <row r="17">
      <c r="A17" s="52" t="str">
        <f>IF(Calculation!E17=Calculation!$A$141,Calculation!B17,"")</f>
        <v/>
      </c>
      <c r="B17" s="53" t="str">
        <f>IF(Calculation!E17=Calculation!$A$141,Calculation!I17,"")</f>
        <v/>
      </c>
      <c r="C17" s="52" t="str">
        <f>IF(Calculation!E17=Calculation!$A$141,Calculation!D17,"")</f>
        <v/>
      </c>
      <c r="D17" s="52" t="str">
        <f>IF(Calculation!E17=Calculation!$A$141,Calculation!C17,"")</f>
        <v/>
      </c>
      <c r="E17" s="52" t="str">
        <f>IF(Calculation!E17=Calculation!$A$141,Calculation!F17,"")</f>
        <v/>
      </c>
      <c r="F17" s="54" t="str">
        <f>IF(Calculation!E17=Calculation!$A$141,Calculation!G17,"")</f>
        <v/>
      </c>
      <c r="G17" s="54" t="str">
        <f>IF(Calculation!E17=Calculation!$A$141,Calculation!H17,"")</f>
        <v/>
      </c>
      <c r="H17" s="55"/>
      <c r="L17" s="62"/>
      <c r="M17" s="62"/>
      <c r="N17" s="62"/>
      <c r="O17" s="62"/>
      <c r="P17" s="69"/>
      <c r="Q17" s="62"/>
      <c r="R17" s="62"/>
      <c r="S17" s="69"/>
      <c r="T17" s="70"/>
    </row>
    <row r="18">
      <c r="A18" s="52" t="str">
        <f>IF(Calculation!E18=Calculation!$A$141,Calculation!B18,"")</f>
        <v/>
      </c>
      <c r="B18" s="53" t="str">
        <f>IF(Calculation!E18=Calculation!$A$141,Calculation!I18,"")</f>
        <v/>
      </c>
      <c r="C18" s="52" t="str">
        <f>IF(Calculation!E18=Calculation!$A$141,Calculation!D18,"")</f>
        <v/>
      </c>
      <c r="D18" s="52" t="str">
        <f>IF(Calculation!E18=Calculation!$A$141,Calculation!C18,"")</f>
        <v/>
      </c>
      <c r="E18" s="52" t="str">
        <f>IF(Calculation!E18=Calculation!$A$141,Calculation!F18,"")</f>
        <v/>
      </c>
      <c r="F18" s="54" t="str">
        <f>IF(Calculation!E18=Calculation!$A$141,Calculation!G18,"")</f>
        <v/>
      </c>
      <c r="G18" s="54" t="str">
        <f>IF(Calculation!E18=Calculation!$A$141,Calculation!H18,"")</f>
        <v/>
      </c>
      <c r="H18" s="55"/>
      <c r="L18" s="83" t="s">
        <v>68</v>
      </c>
      <c r="P18" s="84" t="s">
        <v>49</v>
      </c>
      <c r="Q18" s="84" t="s">
        <v>69</v>
      </c>
      <c r="R18" s="84" t="s">
        <v>70</v>
      </c>
      <c r="S18" s="69"/>
      <c r="T18" s="70"/>
    </row>
    <row r="19" ht="23.25" customHeight="1">
      <c r="A19" s="52"/>
      <c r="B19" s="53"/>
      <c r="C19" s="52"/>
      <c r="D19" s="52"/>
      <c r="E19" s="52"/>
      <c r="F19" s="54"/>
      <c r="G19" s="54"/>
      <c r="H19" s="55"/>
      <c r="L19" s="85" t="s">
        <v>85</v>
      </c>
      <c r="M19" s="85"/>
      <c r="N19" s="85"/>
      <c r="O19" s="85"/>
      <c r="P19" s="126">
        <v>1.0</v>
      </c>
      <c r="Q19" s="121">
        <f>SUMIF(Calculation!$D$3:$D$125,Calculation!A141,Calculation!$J$3:$J$125)</f>
        <v>2207.5</v>
      </c>
      <c r="R19" s="122">
        <f>PRODUCT(P19,Q19)</f>
        <v>2207.5</v>
      </c>
      <c r="S19" s="69"/>
      <c r="T19" s="70"/>
    </row>
    <row r="20" ht="23.25" customHeight="1">
      <c r="A20" s="52" t="str">
        <f>IF(Calculation!E19=Calculation!$A$141,Calculation!B19,"")</f>
        <v/>
      </c>
      <c r="B20" s="53" t="str">
        <f>IF(Calculation!E19=Calculation!$A$141,Calculation!I19,"")</f>
        <v/>
      </c>
      <c r="C20" s="52" t="str">
        <f>IF(Calculation!E19=Calculation!$A$141,Calculation!D19,"")</f>
        <v/>
      </c>
      <c r="D20" s="52" t="str">
        <f>IF(Calculation!E19=Calculation!$A$141,Calculation!C19,"")</f>
        <v/>
      </c>
      <c r="E20" s="52" t="str">
        <f>IF(Calculation!E19=Calculation!$A$141,Calculation!F19,"")</f>
        <v/>
      </c>
      <c r="F20" s="54" t="str">
        <f>IF(Calculation!E19=Calculation!$A$141,Calculation!G19,"")</f>
        <v/>
      </c>
      <c r="G20" s="54" t="str">
        <f>IF(Calculation!E19=Calculation!$A$141,Calculation!H19,"")</f>
        <v/>
      </c>
      <c r="H20" s="55"/>
      <c r="L20" s="85" t="s">
        <v>34</v>
      </c>
      <c r="P20" s="86">
        <f>SUMIFS(Calculation!$F$3:$F$125,Calculation!$C$3:$C$125,"Short Video Design",Calculation!$E$3:$E$125,Calculation!A141)</f>
        <v>5</v>
      </c>
      <c r="Q20" s="121">
        <f>(Calculation!B136)</f>
        <v>312.5</v>
      </c>
      <c r="R20" s="122">
        <f t="shared" ref="R20:R24" si="1">product(P20,Q20)</f>
        <v>1562.5</v>
      </c>
      <c r="S20" s="69"/>
      <c r="T20" s="70"/>
    </row>
    <row r="21" ht="18.0" customHeight="1">
      <c r="A21" s="52" t="str">
        <f>IF(Calculation!E20=Calculation!$A$141,Calculation!B20,"")</f>
        <v/>
      </c>
      <c r="B21" s="53" t="str">
        <f>IF(Calculation!E20=Calculation!$A$141,Calculation!I20,"")</f>
        <v/>
      </c>
      <c r="C21" s="52" t="str">
        <f>IF(Calculation!E20=Calculation!$A$141,Calculation!D20,"")</f>
        <v/>
      </c>
      <c r="D21" s="52" t="str">
        <f>IF(Calculation!E20=Calculation!$A$141,Calculation!C20,"")</f>
        <v/>
      </c>
      <c r="E21" s="52" t="str">
        <f>IF(Calculation!E20=Calculation!$A$141,Calculation!F20,"")</f>
        <v/>
      </c>
      <c r="F21" s="54" t="str">
        <f>IF(Calculation!E20=Calculation!$A$141,Calculation!G20,"")</f>
        <v/>
      </c>
      <c r="G21" s="54" t="str">
        <f>IF(Calculation!E20=Calculation!$A$141,Calculation!H20,"")</f>
        <v/>
      </c>
      <c r="H21" s="55"/>
      <c r="L21" s="89" t="s">
        <v>35</v>
      </c>
      <c r="P21" s="86">
        <f>SUMIFS(Calculation!$F$3:$F$125,Calculation!$C$3:$C$125,"Long Video Design",Calculation!$E$3:$E$125,Calculation!A141)</f>
        <v>0</v>
      </c>
      <c r="Q21" s="121">
        <f>(Calculation!C136)</f>
        <v>468.75</v>
      </c>
      <c r="R21" s="123">
        <f t="shared" si="1"/>
        <v>0</v>
      </c>
      <c r="S21" s="69"/>
      <c r="T21" s="70"/>
    </row>
    <row r="22" ht="21.0" customHeight="1">
      <c r="A22" s="52" t="str">
        <f>IF(Calculation!E21=Calculation!$A$141,Calculation!B21,"")</f>
        <v/>
      </c>
      <c r="B22" s="53" t="str">
        <f>IF(Calculation!E21=Calculation!$A$141,Calculation!I21,"")</f>
        <v/>
      </c>
      <c r="C22" s="52" t="str">
        <f>IF(Calculation!E21=Calculation!$A$141,Calculation!D21,"")</f>
        <v/>
      </c>
      <c r="D22" s="52" t="str">
        <f>IF(Calculation!E21=Calculation!$A$141,Calculation!C21,"")</f>
        <v/>
      </c>
      <c r="E22" s="52" t="str">
        <f>IF(Calculation!E21=Calculation!$A$141,Calculation!F21,"")</f>
        <v/>
      </c>
      <c r="F22" s="54" t="str">
        <f>IF(Calculation!E21=Calculation!$A$141,Calculation!G21,"")</f>
        <v/>
      </c>
      <c r="G22" s="54" t="str">
        <f>IF(Calculation!E21=Calculation!$A$141,Calculation!H21,"")</f>
        <v/>
      </c>
      <c r="H22" s="55"/>
      <c r="L22" s="91" t="s">
        <v>25</v>
      </c>
      <c r="P22" s="86">
        <f>SUMIFS(Calculation!$F$3:$F$125,Calculation!$C$3:$C$125,"Content for Poster",Calculation!$E$3:$E$125,Calculation!A141)</f>
        <v>0</v>
      </c>
      <c r="Q22" s="121">
        <f>(Calculation!D136)</f>
        <v>86</v>
      </c>
      <c r="R22" s="122">
        <f t="shared" si="1"/>
        <v>0</v>
      </c>
      <c r="S22" s="69"/>
      <c r="T22" s="70"/>
    </row>
    <row r="23" ht="21.0" customHeight="1">
      <c r="A23" s="52" t="str">
        <f>IF(Calculation!E22=Calculation!$A$141,Calculation!B22,"")</f>
        <v/>
      </c>
      <c r="B23" s="53" t="str">
        <f>IF(Calculation!E22=Calculation!$A$141,Calculation!I22,"")</f>
        <v/>
      </c>
      <c r="C23" s="52" t="str">
        <f>IF(Calculation!E22=Calculation!$A$141,Calculation!D22,"")</f>
        <v/>
      </c>
      <c r="D23" s="52" t="str">
        <f>IF(Calculation!E22=Calculation!$A$141,Calculation!C22,"")</f>
        <v/>
      </c>
      <c r="E23" s="52" t="str">
        <f>IF(Calculation!E22=Calculation!$A$141,Calculation!F22,"")</f>
        <v/>
      </c>
      <c r="F23" s="54" t="str">
        <f>IF(Calculation!E22=Calculation!$A$141,Calculation!G22,"")</f>
        <v/>
      </c>
      <c r="G23" s="54" t="str">
        <f>IF(Calculation!E22=Calculation!$A$141,Calculation!H22,"")</f>
        <v/>
      </c>
      <c r="H23" s="55"/>
      <c r="L23" s="92" t="s">
        <v>36</v>
      </c>
      <c r="P23" s="86">
        <f>SUMIFS(Calculation!$F$3:$F$125,Calculation!$C$3:$C$125,"Content for Video",Calculation!$E$3:$E$125,Calculation!A141)</f>
        <v>0</v>
      </c>
      <c r="Q23" s="121">
        <f>(Calculation!E136)</f>
        <v>156.25</v>
      </c>
      <c r="R23" s="123">
        <f t="shared" si="1"/>
        <v>0</v>
      </c>
      <c r="S23" s="69"/>
      <c r="T23" s="70"/>
    </row>
    <row r="24" ht="20.25" customHeight="1">
      <c r="A24" s="52" t="str">
        <f>IF(Calculation!E23=Calculation!$A$141,Calculation!B23,"")</f>
        <v/>
      </c>
      <c r="B24" s="53" t="str">
        <f>IF(Calculation!E23=Calculation!$A$141,Calculation!I23,"")</f>
        <v/>
      </c>
      <c r="C24" s="52" t="str">
        <f>IF(Calculation!E23=Calculation!$A$141,Calculation!D23,"")</f>
        <v/>
      </c>
      <c r="D24" s="52" t="str">
        <f>IF(Calculation!E23=Calculation!$A$141,Calculation!C23,"")</f>
        <v/>
      </c>
      <c r="E24" s="52" t="str">
        <f>IF(Calculation!E23=Calculation!$A$141,Calculation!F23,"")</f>
        <v/>
      </c>
      <c r="F24" s="54" t="str">
        <f>IF(Calculation!E23=Calculation!$A$141,Calculation!G23,"")</f>
        <v/>
      </c>
      <c r="G24" s="54" t="str">
        <f>IF(Calculation!E23=Calculation!$A$141,Calculation!H23,"")</f>
        <v/>
      </c>
      <c r="H24" s="55"/>
      <c r="L24" s="93" t="s">
        <v>16</v>
      </c>
      <c r="M24" s="93"/>
      <c r="N24" s="94"/>
      <c r="O24" s="94"/>
      <c r="P24" s="86">
        <f>SUMIFS(Calculation!$F$3:$F$125,Calculation!$C$3:$C$125,"Poster Design",Calculation!$E$3:$E$125,Calculation!A141)</f>
        <v>0</v>
      </c>
      <c r="Q24" s="124">
        <f>(Calculation!F136)</f>
        <v>140</v>
      </c>
      <c r="R24" s="125">
        <f t="shared" si="1"/>
        <v>0</v>
      </c>
      <c r="S24" s="69"/>
      <c r="T24" s="70"/>
    </row>
    <row r="25">
      <c r="A25" s="52" t="str">
        <f>IF(Calculation!E24=Calculation!$A$141,Calculation!B24,"")</f>
        <v/>
      </c>
      <c r="B25" s="53" t="str">
        <f>IF(Calculation!E24=Calculation!$A$141,Calculation!I24,"")</f>
        <v/>
      </c>
      <c r="C25" s="52" t="str">
        <f>IF(Calculation!E24=Calculation!$A$141,Calculation!D24,"")</f>
        <v/>
      </c>
      <c r="D25" s="52" t="str">
        <f>IF(Calculation!E24=Calculation!$A$141,Calculation!C24,"")</f>
        <v/>
      </c>
      <c r="E25" s="52" t="str">
        <f>IF(Calculation!E24=Calculation!$A$141,Calculation!F24,"")</f>
        <v/>
      </c>
      <c r="F25" s="54" t="str">
        <f>IF(Calculation!E24=Calculation!$A$141,Calculation!G24,"")</f>
        <v/>
      </c>
      <c r="G25" s="54" t="str">
        <f>IF(Calculation!E24=Calculation!$A$141,Calculation!H24,"")</f>
        <v/>
      </c>
      <c r="H25" s="55"/>
      <c r="L25" s="97" t="s">
        <v>71</v>
      </c>
      <c r="M25" s="97"/>
      <c r="N25" s="62"/>
      <c r="Q25" s="98" t="s">
        <v>72</v>
      </c>
      <c r="R25" s="99">
        <f>sum(R19:R24)</f>
        <v>3770</v>
      </c>
      <c r="S25" s="62"/>
      <c r="T25" s="64"/>
    </row>
    <row r="26">
      <c r="A26" s="52" t="str">
        <f>IF(Calculation!E25=Calculation!$A$141,Calculation!B25,"")</f>
        <v/>
      </c>
      <c r="B26" s="53" t="str">
        <f>IF(Calculation!E25=Calculation!$A$141,Calculation!I25,"")</f>
        <v/>
      </c>
      <c r="C26" s="52" t="str">
        <f>IF(Calculation!E25=Calculation!$A$141,Calculation!D25,"")</f>
        <v/>
      </c>
      <c r="D26" s="52" t="str">
        <f>IF(Calculation!E25=Calculation!$A$141,Calculation!C25,"")</f>
        <v/>
      </c>
      <c r="E26" s="52" t="str">
        <f>IF(Calculation!E25=Calculation!$A$141,Calculation!F25,"")</f>
        <v/>
      </c>
      <c r="F26" s="54" t="str">
        <f>IF(Calculation!E25=Calculation!$A$141,Calculation!G25,"")</f>
        <v/>
      </c>
      <c r="G26" s="54" t="str">
        <f>IF(Calculation!E25=Calculation!$A$141,Calculation!H25,"")</f>
        <v/>
      </c>
      <c r="H26" s="55"/>
      <c r="L26" s="62"/>
      <c r="M26" s="62"/>
      <c r="N26" s="62"/>
      <c r="Q26" s="98" t="s">
        <v>73</v>
      </c>
      <c r="R26" s="100">
        <v>0.0</v>
      </c>
      <c r="S26" s="62"/>
      <c r="T26" s="64"/>
    </row>
    <row r="27">
      <c r="A27" s="52" t="str">
        <f>IF(Calculation!E26=Calculation!$A$141,Calculation!B26,"")</f>
        <v/>
      </c>
      <c r="B27" s="53" t="str">
        <f>IF(Calculation!E26=Calculation!$A$141,Calculation!I26,"")</f>
        <v/>
      </c>
      <c r="C27" s="52" t="str">
        <f>IF(Calculation!E26=Calculation!$A$141,Calculation!D26,"")</f>
        <v/>
      </c>
      <c r="D27" s="52" t="str">
        <f>IF(Calculation!E26=Calculation!$A$141,Calculation!C26,"")</f>
        <v/>
      </c>
      <c r="E27" s="52" t="str">
        <f>IF(Calculation!E26=Calculation!$A$141,Calculation!F26,"")</f>
        <v/>
      </c>
      <c r="F27" s="54" t="str">
        <f>IF(Calculation!E26=Calculation!$A$141,Calculation!G26,"")</f>
        <v/>
      </c>
      <c r="G27" s="54" t="str">
        <f>IF(Calculation!E26=Calculation!$A$141,Calculation!H26,"")</f>
        <v/>
      </c>
      <c r="H27" s="55"/>
      <c r="L27" s="69"/>
      <c r="M27" s="69"/>
      <c r="N27" s="69"/>
      <c r="O27" s="69"/>
      <c r="P27" s="69"/>
      <c r="Q27" s="101">
        <f>sum(R25,R26)</f>
        <v>3770</v>
      </c>
      <c r="S27" s="69"/>
      <c r="T27" s="70"/>
    </row>
    <row r="28">
      <c r="A28" s="52" t="str">
        <f>IF(Calculation!E27=Calculation!$A$141,Calculation!B27,"")</f>
        <v/>
      </c>
      <c r="B28" s="53" t="str">
        <f>IF(Calculation!E27=Calculation!$A$141,Calculation!I27,"")</f>
        <v/>
      </c>
      <c r="C28" s="52" t="str">
        <f>IF(Calculation!E27=Calculation!$A$141,Calculation!D27,"")</f>
        <v/>
      </c>
      <c r="D28" s="52" t="str">
        <f>IF(Calculation!E27=Calculation!$A$141,Calculation!C27,"")</f>
        <v/>
      </c>
      <c r="E28" s="52" t="str">
        <f>IF(Calculation!E27=Calculation!$A$141,Calculation!F27,"")</f>
        <v/>
      </c>
      <c r="F28" s="54" t="str">
        <f>IF(Calculation!E27=Calculation!$A$141,Calculation!G27,"")</f>
        <v/>
      </c>
      <c r="G28" s="54" t="str">
        <f>IF(Calculation!E27=Calculation!$A$141,Calculation!H27,"")</f>
        <v/>
      </c>
      <c r="H28" s="55"/>
      <c r="L28" s="102"/>
      <c r="M28" s="102"/>
      <c r="N28" s="69"/>
      <c r="O28" s="69"/>
      <c r="P28" s="69"/>
      <c r="Q28" s="69"/>
      <c r="R28" s="69"/>
      <c r="S28" s="69"/>
      <c r="T28" s="70"/>
    </row>
    <row r="29">
      <c r="A29" s="52" t="str">
        <f>IF(Calculation!E28=Calculation!$A$141,Calculation!B28,"")</f>
        <v/>
      </c>
      <c r="B29" s="53" t="str">
        <f>IF(Calculation!E28=Calculation!$A$141,Calculation!I28,"")</f>
        <v/>
      </c>
      <c r="C29" s="52" t="str">
        <f>IF(Calculation!E28=Calculation!$A$141,Calculation!D28,"")</f>
        <v/>
      </c>
      <c r="D29" s="52" t="str">
        <f>IF(Calculation!E28=Calculation!$A$141,Calculation!C28,"")</f>
        <v/>
      </c>
      <c r="E29" s="52" t="str">
        <f>IF(Calculation!E28=Calculation!$A$141,Calculation!F28,"")</f>
        <v/>
      </c>
      <c r="F29" s="54" t="str">
        <f>IF(Calculation!E28=Calculation!$A$141,Calculation!G28,"")</f>
        <v/>
      </c>
      <c r="G29" s="54" t="str">
        <f>IF(Calculation!E28=Calculation!$A$141,Calculation!H28,"")</f>
        <v/>
      </c>
      <c r="H29" s="55"/>
      <c r="T29" s="103"/>
    </row>
    <row r="30">
      <c r="A30" s="52" t="str">
        <f>IF(Calculation!E29=Calculation!$A$141,Calculation!B29,"")</f>
        <v/>
      </c>
      <c r="B30" s="53" t="str">
        <f>IF(Calculation!E29=Calculation!$A$141,Calculation!I29,"")</f>
        <v/>
      </c>
      <c r="C30" s="52" t="str">
        <f>IF(Calculation!E29=Calculation!$A$141,Calculation!D29,"")</f>
        <v/>
      </c>
      <c r="D30" s="52" t="str">
        <f>IF(Calculation!E29=Calculation!$A$141,Calculation!C29,"")</f>
        <v/>
      </c>
      <c r="E30" s="52" t="str">
        <f>IF(Calculation!E29=Calculation!$A$141,Calculation!F29,"")</f>
        <v/>
      </c>
      <c r="F30" s="54" t="str">
        <f>IF(Calculation!E29=Calculation!$A$141,Calculation!G29,"")</f>
        <v/>
      </c>
      <c r="G30" s="54" t="str">
        <f>IF(Calculation!E29=Calculation!$A$141,Calculation!H29,"")</f>
        <v/>
      </c>
      <c r="H30" s="55"/>
      <c r="T30" s="103"/>
    </row>
    <row r="31">
      <c r="A31" s="52" t="str">
        <f>IF(Calculation!E30=Calculation!$A$141,Calculation!B30,"")</f>
        <v/>
      </c>
      <c r="B31" s="53" t="str">
        <f>IF(Calculation!E30=Calculation!$A$141,Calculation!I30,"")</f>
        <v/>
      </c>
      <c r="C31" s="52" t="str">
        <f>IF(Calculation!E30=Calculation!$A$141,Calculation!D30,"")</f>
        <v/>
      </c>
      <c r="D31" s="52" t="str">
        <f>IF(Calculation!E30=Calculation!$A$141,Calculation!C30,"")</f>
        <v/>
      </c>
      <c r="E31" s="52" t="str">
        <f>IF(Calculation!E30=Calculation!$A$141,Calculation!F30,"")</f>
        <v/>
      </c>
      <c r="F31" s="54" t="str">
        <f>IF(Calculation!E30=Calculation!$A$141,Calculation!G30,"")</f>
        <v/>
      </c>
      <c r="G31" s="54" t="str">
        <f>IF(Calculation!E30=Calculation!$A$141,Calculation!H30,"")</f>
        <v/>
      </c>
      <c r="H31" s="55"/>
      <c r="T31" s="103"/>
    </row>
    <row r="32">
      <c r="A32" s="52" t="str">
        <f>IF(Calculation!E31=Calculation!$A$141,Calculation!B31,"")</f>
        <v/>
      </c>
      <c r="B32" s="53" t="str">
        <f>IF(Calculation!E31=Calculation!$A$141,Calculation!I31,"")</f>
        <v/>
      </c>
      <c r="C32" s="52" t="str">
        <f>IF(Calculation!E31=Calculation!$A$141,Calculation!D31,"")</f>
        <v/>
      </c>
      <c r="D32" s="52" t="str">
        <f>IF(Calculation!E31=Calculation!$A$141,Calculation!C31,"")</f>
        <v/>
      </c>
      <c r="E32" s="52" t="str">
        <f>IF(Calculation!E31=Calculation!$A$141,Calculation!F31,"")</f>
        <v/>
      </c>
      <c r="F32" s="54" t="str">
        <f>IF(Calculation!E31=Calculation!$A$141,Calculation!G31,"")</f>
        <v/>
      </c>
      <c r="G32" s="54" t="str">
        <f>IF(Calculation!E31=Calculation!$A$141,Calculation!H31,"")</f>
        <v/>
      </c>
      <c r="H32" s="55"/>
      <c r="T32" s="103"/>
    </row>
    <row r="33">
      <c r="A33" s="52" t="str">
        <f>IF(Calculation!E32=Calculation!$A$141,Calculation!B32,"")</f>
        <v/>
      </c>
      <c r="B33" s="53" t="str">
        <f>IF(Calculation!E32=Calculation!$A$141,Calculation!I32,"")</f>
        <v/>
      </c>
      <c r="C33" s="52" t="str">
        <f>IF(Calculation!E32=Calculation!$A$141,Calculation!D32,"")</f>
        <v/>
      </c>
      <c r="D33" s="52" t="str">
        <f>IF(Calculation!E32=Calculation!$A$141,Calculation!C32,"")</f>
        <v/>
      </c>
      <c r="E33" s="52" t="str">
        <f>IF(Calculation!E32=Calculation!$A$141,Calculation!F32,"")</f>
        <v/>
      </c>
      <c r="F33" s="54" t="str">
        <f>IF(Calculation!E32=Calculation!$A$141,Calculation!G32,"")</f>
        <v/>
      </c>
      <c r="G33" s="54" t="str">
        <f>IF(Calculation!E32=Calculation!$A$141,Calculation!H32,"")</f>
        <v/>
      </c>
      <c r="H33" s="55"/>
      <c r="T33" s="103"/>
    </row>
    <row r="34">
      <c r="A34" s="52" t="str">
        <f>IF(Calculation!E33=Calculation!$A$141,Calculation!B33,"")</f>
        <v/>
      </c>
      <c r="B34" s="53" t="str">
        <f>IF(Calculation!E33=Calculation!$A$141,Calculation!I33,"")</f>
        <v/>
      </c>
      <c r="C34" s="52" t="str">
        <f>IF(Calculation!E33=Calculation!$A$141,Calculation!D33,"")</f>
        <v/>
      </c>
      <c r="D34" s="52" t="str">
        <f>IF(Calculation!E33=Calculation!$A$141,Calculation!C33,"")</f>
        <v/>
      </c>
      <c r="E34" s="52" t="str">
        <f>IF(Calculation!E33=Calculation!$A$141,Calculation!F33,"")</f>
        <v/>
      </c>
      <c r="F34" s="54" t="str">
        <f>IF(Calculation!E33=Calculation!$A$141,Calculation!G33,"")</f>
        <v/>
      </c>
      <c r="G34" s="54" t="str">
        <f>IF(Calculation!E33=Calculation!$A$141,Calculation!H33,"")</f>
        <v/>
      </c>
      <c r="H34" s="55"/>
      <c r="T34" s="103"/>
    </row>
    <row r="35">
      <c r="A35" s="52" t="str">
        <f>IF(Calculation!E34=Calculation!$A$141,Calculation!B34,"")</f>
        <v/>
      </c>
      <c r="B35" s="53" t="str">
        <f>IF(Calculation!E34=Calculation!$A$141,Calculation!I34,"")</f>
        <v/>
      </c>
      <c r="C35" s="52" t="str">
        <f>IF(Calculation!E34=Calculation!$A$141,Calculation!D34,"")</f>
        <v/>
      </c>
      <c r="D35" s="52" t="str">
        <f>IF(Calculation!E34=Calculation!$A$141,Calculation!C34,"")</f>
        <v/>
      </c>
      <c r="E35" s="52" t="str">
        <f>IF(Calculation!E34=Calculation!$A$141,Calculation!F34,"")</f>
        <v/>
      </c>
      <c r="F35" s="54" t="str">
        <f>IF(Calculation!E34=Calculation!$A$141,Calculation!G34,"")</f>
        <v/>
      </c>
      <c r="G35" s="54" t="str">
        <f>IF(Calculation!E34=Calculation!$A$141,Calculation!H34,"")</f>
        <v/>
      </c>
      <c r="H35" s="55"/>
      <c r="T35" s="103"/>
    </row>
    <row r="36">
      <c r="A36" s="52" t="str">
        <f>IF(Calculation!E35=Calculation!$A$141,Calculation!B35,"")</f>
        <v/>
      </c>
      <c r="B36" s="53" t="str">
        <f>IF(Calculation!E35=Calculation!$A$141,Calculation!I35,"")</f>
        <v/>
      </c>
      <c r="C36" s="52" t="str">
        <f>IF(Calculation!E35=Calculation!$A$141,Calculation!D35,"")</f>
        <v/>
      </c>
      <c r="D36" s="52" t="str">
        <f>IF(Calculation!E35=Calculation!$A$141,Calculation!C35,"")</f>
        <v/>
      </c>
      <c r="E36" s="52" t="str">
        <f>IF(Calculation!E35=Calculation!$A$141,Calculation!F35,"")</f>
        <v/>
      </c>
      <c r="F36" s="54" t="str">
        <f>IF(Calculation!E35=Calculation!$A$141,Calculation!G35,"")</f>
        <v/>
      </c>
      <c r="G36" s="54" t="str">
        <f>IF(Calculation!E35=Calculation!$A$141,Calculation!H35,"")</f>
        <v/>
      </c>
      <c r="H36" s="55"/>
      <c r="T36" s="103"/>
    </row>
    <row r="37">
      <c r="A37" s="52" t="str">
        <f>IF(Calculation!E36=Calculation!$A$141,Calculation!B36,"")</f>
        <v/>
      </c>
      <c r="B37" s="53" t="str">
        <f>IF(Calculation!E36=Calculation!$A$141,Calculation!I36,"")</f>
        <v/>
      </c>
      <c r="C37" s="52" t="str">
        <f>IF(Calculation!E36=Calculation!$A$141,Calculation!D36,"")</f>
        <v/>
      </c>
      <c r="D37" s="52" t="str">
        <f>IF(Calculation!E36=Calculation!$A$141,Calculation!C36,"")</f>
        <v/>
      </c>
      <c r="E37" s="52" t="str">
        <f>IF(Calculation!E36=Calculation!$A$141,Calculation!F36,"")</f>
        <v/>
      </c>
      <c r="F37" s="54" t="str">
        <f>IF(Calculation!E36=Calculation!$A$141,Calculation!G36,"")</f>
        <v/>
      </c>
      <c r="G37" s="54" t="str">
        <f>IF(Calculation!E36=Calculation!$A$141,Calculation!H36,"")</f>
        <v/>
      </c>
      <c r="H37" s="55"/>
      <c r="T37" s="103"/>
    </row>
    <row r="38">
      <c r="A38" s="52" t="str">
        <f>IF(Calculation!E37=Calculation!$A$141,Calculation!B37,"")</f>
        <v/>
      </c>
      <c r="B38" s="53" t="str">
        <f>IF(Calculation!E37=Calculation!$A$141,Calculation!I37,"")</f>
        <v/>
      </c>
      <c r="C38" s="52" t="str">
        <f>IF(Calculation!E37=Calculation!$A$141,Calculation!D37,"")</f>
        <v/>
      </c>
      <c r="D38" s="52" t="str">
        <f>IF(Calculation!E37=Calculation!$A$141,Calculation!C37,"")</f>
        <v/>
      </c>
      <c r="E38" s="52" t="str">
        <f>IF(Calculation!E37=Calculation!$A$141,Calculation!F37,"")</f>
        <v/>
      </c>
      <c r="F38" s="54" t="str">
        <f>IF(Calculation!E37=Calculation!$A$141,Calculation!G37,"")</f>
        <v/>
      </c>
      <c r="G38" s="54" t="str">
        <f>IF(Calculation!E37=Calculation!$A$141,Calculation!H37,"")</f>
        <v/>
      </c>
      <c r="H38" s="55"/>
      <c r="T38" s="103"/>
    </row>
    <row r="39">
      <c r="A39" s="52" t="str">
        <f>IF(Calculation!E38=Calculation!$A$141,Calculation!B38,"")</f>
        <v/>
      </c>
      <c r="B39" s="53" t="str">
        <f>IF(Calculation!E38=Calculation!$A$141,Calculation!I38,"")</f>
        <v/>
      </c>
      <c r="C39" s="52" t="str">
        <f>IF(Calculation!E38=Calculation!$A$141,Calculation!D38,"")</f>
        <v/>
      </c>
      <c r="D39" s="52" t="str">
        <f>IF(Calculation!E38=Calculation!$A$141,Calculation!C38,"")</f>
        <v/>
      </c>
      <c r="E39" s="52" t="str">
        <f>IF(Calculation!E38=Calculation!$A$141,Calculation!F38,"")</f>
        <v/>
      </c>
      <c r="F39" s="54" t="str">
        <f>IF(Calculation!E38=Calculation!$A$141,Calculation!G38,"")</f>
        <v/>
      </c>
      <c r="G39" s="54" t="str">
        <f>IF(Calculation!E38=Calculation!$A$141,Calculation!H38,"")</f>
        <v/>
      </c>
      <c r="H39" s="55"/>
      <c r="T39" s="103"/>
    </row>
    <row r="40">
      <c r="A40" s="52" t="str">
        <f>IF(Calculation!E39=Calculation!$A$141,Calculation!B39,"")</f>
        <v/>
      </c>
      <c r="B40" s="53" t="str">
        <f>IF(Calculation!E39=Calculation!$A$141,Calculation!I39,"")</f>
        <v/>
      </c>
      <c r="C40" s="52" t="str">
        <f>IF(Calculation!E39=Calculation!$A$141,Calculation!D39,"")</f>
        <v/>
      </c>
      <c r="D40" s="52" t="str">
        <f>IF(Calculation!E39=Calculation!$A$141,Calculation!C39,"")</f>
        <v/>
      </c>
      <c r="E40" s="52" t="str">
        <f>IF(Calculation!E39=Calculation!$A$141,Calculation!F39,"")</f>
        <v/>
      </c>
      <c r="F40" s="54" t="str">
        <f>IF(Calculation!E39=Calculation!$A$141,Calculation!G39,"")</f>
        <v/>
      </c>
      <c r="G40" s="54" t="str">
        <f>IF(Calculation!E39=Calculation!$A$141,Calculation!H39,"")</f>
        <v/>
      </c>
      <c r="H40" s="55"/>
      <c r="T40" s="103"/>
    </row>
    <row r="41">
      <c r="A41" s="52" t="str">
        <f>IF(Calculation!E40=Calculation!$A$141,Calculation!B40,"")</f>
        <v/>
      </c>
      <c r="B41" s="53" t="str">
        <f>IF(Calculation!E40=Calculation!$A$141,Calculation!I40,"")</f>
        <v/>
      </c>
      <c r="C41" s="52" t="str">
        <f>IF(Calculation!E40=Calculation!$A$141,Calculation!D40,"")</f>
        <v/>
      </c>
      <c r="D41" s="52" t="str">
        <f>IF(Calculation!E40=Calculation!$A$141,Calculation!C40,"")</f>
        <v/>
      </c>
      <c r="E41" s="52" t="str">
        <f>IF(Calculation!E40=Calculation!$A$141,Calculation!F40,"")</f>
        <v/>
      </c>
      <c r="F41" s="54" t="str">
        <f>IF(Calculation!E40=Calculation!$A$141,Calculation!G40,"")</f>
        <v/>
      </c>
      <c r="G41" s="54" t="str">
        <f>IF(Calculation!E40=Calculation!$A$141,Calculation!H40,"")</f>
        <v/>
      </c>
      <c r="H41" s="55"/>
      <c r="L41" s="104"/>
      <c r="M41" s="104"/>
      <c r="N41" s="104"/>
      <c r="O41" s="104"/>
      <c r="P41" s="104"/>
      <c r="Q41" s="104"/>
      <c r="R41" s="104"/>
      <c r="S41" s="104"/>
      <c r="T41" s="105"/>
    </row>
    <row r="42">
      <c r="A42" s="52" t="str">
        <f>IF(Calculation!E41=Calculation!$A$141,Calculation!B41,"")</f>
        <v/>
      </c>
      <c r="B42" s="53" t="str">
        <f>IF(Calculation!E41=Calculation!$A$141,Calculation!I41,"")</f>
        <v/>
      </c>
      <c r="C42" s="52" t="str">
        <f>IF(Calculation!E41=Calculation!$A$141,Calculation!D41,"")</f>
        <v/>
      </c>
      <c r="D42" s="52" t="str">
        <f>IF(Calculation!E41=Calculation!$A$141,Calculation!C41,"")</f>
        <v/>
      </c>
      <c r="E42" s="52" t="str">
        <f>IF(Calculation!E41=Calculation!$A$141,Calculation!F41,"")</f>
        <v/>
      </c>
      <c r="F42" s="54" t="str">
        <f>IF(Calculation!E41=Calculation!$A$141,Calculation!G41,"")</f>
        <v/>
      </c>
      <c r="G42" s="54" t="str">
        <f>IF(Calculation!E41=Calculation!$A$141,Calculation!H41,"")</f>
        <v/>
      </c>
      <c r="H42" s="55"/>
    </row>
    <row r="43">
      <c r="A43" s="52" t="str">
        <f>IF(Calculation!E42=Calculation!$A$141,Calculation!B42,"")</f>
        <v/>
      </c>
      <c r="B43" s="53" t="str">
        <f>IF(Calculation!E42=Calculation!$A$141,Calculation!I42,"")</f>
        <v/>
      </c>
      <c r="C43" s="52" t="str">
        <f>IF(Calculation!E42=Calculation!$A$141,Calculation!D42,"")</f>
        <v/>
      </c>
      <c r="D43" s="52" t="str">
        <f>IF(Calculation!E42=Calculation!$A$141,Calculation!C42,"")</f>
        <v/>
      </c>
      <c r="E43" s="52" t="str">
        <f>IF(Calculation!E42=Calculation!$A$141,Calculation!F42,"")</f>
        <v/>
      </c>
      <c r="F43" s="54" t="str">
        <f>IF(Calculation!E42=Calculation!$A$141,Calculation!G42,"")</f>
        <v/>
      </c>
      <c r="G43" s="54" t="str">
        <f>IF(Calculation!E42=Calculation!$A$141,Calculation!H42,"")</f>
        <v/>
      </c>
      <c r="H43" s="55"/>
    </row>
    <row r="44">
      <c r="A44" s="52" t="str">
        <f>IF(Calculation!E43=Calculation!$A$141,Calculation!B43,"")</f>
        <v/>
      </c>
      <c r="B44" s="53" t="str">
        <f>IF(Calculation!E43=Calculation!$A$141,Calculation!I43,"")</f>
        <v/>
      </c>
      <c r="C44" s="52" t="str">
        <f>IF(Calculation!E43=Calculation!$A$141,Calculation!D43,"")</f>
        <v/>
      </c>
      <c r="D44" s="52" t="str">
        <f>IF(Calculation!E43=Calculation!$A$141,Calculation!C43,"")</f>
        <v/>
      </c>
      <c r="E44" s="52" t="str">
        <f>IF(Calculation!E43=Calculation!$A$141,Calculation!F43,"")</f>
        <v/>
      </c>
      <c r="F44" s="54" t="str">
        <f>IF(Calculation!E43=Calculation!$A$141,Calculation!G43,"")</f>
        <v/>
      </c>
      <c r="G44" s="54" t="str">
        <f>IF(Calculation!E43=Calculation!$A$141,Calculation!H43,"")</f>
        <v/>
      </c>
      <c r="H44" s="55"/>
    </row>
    <row r="45">
      <c r="A45" s="52" t="str">
        <f>IF(Calculation!E44=Calculation!$A$141,Calculation!B44,"")</f>
        <v/>
      </c>
      <c r="B45" s="53" t="str">
        <f>IF(Calculation!E44=Calculation!$A$141,Calculation!I44,"")</f>
        <v/>
      </c>
      <c r="C45" s="52" t="str">
        <f>IF(Calculation!E44=Calculation!$A$141,Calculation!D44,"")</f>
        <v/>
      </c>
      <c r="D45" s="52" t="str">
        <f>IF(Calculation!E44=Calculation!$A$141,Calculation!C44,"")</f>
        <v/>
      </c>
      <c r="E45" s="52" t="str">
        <f>IF(Calculation!E44=Calculation!$A$141,Calculation!F44,"")</f>
        <v/>
      </c>
      <c r="F45" s="54" t="str">
        <f>IF(Calculation!E44=Calculation!$A$141,Calculation!G44,"")</f>
        <v/>
      </c>
      <c r="G45" s="54" t="str">
        <f>IF(Calculation!E44=Calculation!$A$141,Calculation!H44,"")</f>
        <v/>
      </c>
      <c r="H45" s="55"/>
    </row>
    <row r="46">
      <c r="A46" s="52" t="str">
        <f>IF(Calculation!E45=Calculation!$A$141,Calculation!B45,"")</f>
        <v/>
      </c>
      <c r="B46" s="53" t="str">
        <f>IF(Calculation!E45=Calculation!$A$141,Calculation!I45,"")</f>
        <v/>
      </c>
      <c r="C46" s="52" t="str">
        <f>IF(Calculation!E45=Calculation!$A$141,Calculation!D45,"")</f>
        <v/>
      </c>
      <c r="D46" s="52" t="str">
        <f>IF(Calculation!E45=Calculation!$A$141,Calculation!C45,"")</f>
        <v/>
      </c>
      <c r="E46" s="52" t="str">
        <f>IF(Calculation!E45=Calculation!$A$141,Calculation!F45,"")</f>
        <v/>
      </c>
      <c r="F46" s="54" t="str">
        <f>IF(Calculation!E45=Calculation!$A$141,Calculation!G45,"")</f>
        <v/>
      </c>
      <c r="G46" s="54" t="str">
        <f>IF(Calculation!E45=Calculation!$A$141,Calculation!H45,"")</f>
        <v/>
      </c>
      <c r="H46" s="55"/>
    </row>
    <row r="47">
      <c r="A47" s="52" t="str">
        <f>IF(Calculation!E46=Calculation!$A$141,Calculation!B46,"")</f>
        <v/>
      </c>
      <c r="B47" s="53" t="str">
        <f>IF(Calculation!E46=Calculation!$A$141,Calculation!I46,"")</f>
        <v/>
      </c>
      <c r="C47" s="52" t="str">
        <f>IF(Calculation!E46=Calculation!$A$141,Calculation!D46,"")</f>
        <v/>
      </c>
      <c r="D47" s="52" t="str">
        <f>IF(Calculation!E46=Calculation!$A$141,Calculation!C46,"")</f>
        <v/>
      </c>
      <c r="E47" s="52" t="str">
        <f>IF(Calculation!E46=Calculation!$A$141,Calculation!F46,"")</f>
        <v/>
      </c>
      <c r="F47" s="54" t="str">
        <f>IF(Calculation!E46=Calculation!$A$141,Calculation!G46,"")</f>
        <v/>
      </c>
      <c r="G47" s="54" t="str">
        <f>IF(Calculation!E46=Calculation!$A$141,Calculation!H46,"")</f>
        <v/>
      </c>
      <c r="H47" s="55"/>
    </row>
    <row r="48">
      <c r="A48" s="52" t="str">
        <f>IF(Calculation!E47=Calculation!$A$141,Calculation!B47,"")</f>
        <v/>
      </c>
      <c r="B48" s="53" t="str">
        <f>IF(Calculation!E47=Calculation!$A$141,Calculation!I47,"")</f>
        <v/>
      </c>
      <c r="C48" s="52" t="str">
        <f>IF(Calculation!E47=Calculation!$A$141,Calculation!D47,"")</f>
        <v/>
      </c>
      <c r="D48" s="52" t="str">
        <f>IF(Calculation!E47=Calculation!$A$141,Calculation!C47,"")</f>
        <v/>
      </c>
      <c r="E48" s="52" t="str">
        <f>IF(Calculation!E47=Calculation!$A$141,Calculation!F47,"")</f>
        <v/>
      </c>
      <c r="F48" s="54" t="str">
        <f>IF(Calculation!E47=Calculation!$A$141,Calculation!G47,"")</f>
        <v/>
      </c>
      <c r="G48" s="54" t="str">
        <f>IF(Calculation!E47=Calculation!$A$141,Calculation!H47,"")</f>
        <v/>
      </c>
      <c r="H48" s="55"/>
    </row>
    <row r="49">
      <c r="A49" s="52" t="str">
        <f>IF(Calculation!E48=Calculation!$A$141,Calculation!B48,"")</f>
        <v/>
      </c>
      <c r="B49" s="53" t="str">
        <f>IF(Calculation!E48=Calculation!$A$141,Calculation!I48,"")</f>
        <v/>
      </c>
      <c r="C49" s="52" t="str">
        <f>IF(Calculation!E48=Calculation!$A$141,Calculation!D48,"")</f>
        <v/>
      </c>
      <c r="D49" s="52" t="str">
        <f>IF(Calculation!E48=Calculation!$A$141,Calculation!C48,"")</f>
        <v/>
      </c>
      <c r="E49" s="52" t="str">
        <f>IF(Calculation!E48=Calculation!$A$141,Calculation!F48,"")</f>
        <v/>
      </c>
      <c r="F49" s="54" t="str">
        <f>IF(Calculation!E48=Calculation!$A$141,Calculation!G48,"")</f>
        <v/>
      </c>
      <c r="G49" s="54" t="str">
        <f>IF(Calculation!E48=Calculation!$A$141,Calculation!H48,"")</f>
        <v/>
      </c>
      <c r="H49" s="55"/>
    </row>
    <row r="50">
      <c r="A50" s="52" t="str">
        <f>IF(Calculation!E49=Calculation!$A$141,Calculation!B49,"")</f>
        <v/>
      </c>
      <c r="B50" s="53" t="str">
        <f>IF(Calculation!E49=Calculation!$A$141,Calculation!I49,"")</f>
        <v/>
      </c>
      <c r="C50" s="52" t="str">
        <f>IF(Calculation!E49=Calculation!$A$141,Calculation!D49,"")</f>
        <v/>
      </c>
      <c r="D50" s="52" t="str">
        <f>IF(Calculation!E49=Calculation!$A$141,Calculation!C49,"")</f>
        <v/>
      </c>
      <c r="E50" s="52" t="str">
        <f>IF(Calculation!E49=Calculation!$A$141,Calculation!F49,"")</f>
        <v/>
      </c>
      <c r="F50" s="54" t="str">
        <f>IF(Calculation!E49=Calculation!$A$141,Calculation!G49,"")</f>
        <v/>
      </c>
      <c r="G50" s="54" t="str">
        <f>IF(Calculation!E49=Calculation!$A$141,Calculation!H49,"")</f>
        <v/>
      </c>
      <c r="H50" s="55"/>
    </row>
    <row r="51">
      <c r="A51" s="52" t="str">
        <f>IF(Calculation!E50=Calculation!$A$141,Calculation!B50,"")</f>
        <v/>
      </c>
      <c r="B51" s="53" t="str">
        <f>IF(Calculation!E50=Calculation!$A$141,Calculation!I50,"")</f>
        <v/>
      </c>
      <c r="C51" s="52" t="str">
        <f>IF(Calculation!E50=Calculation!$A$141,Calculation!D50,"")</f>
        <v/>
      </c>
      <c r="D51" s="52" t="str">
        <f>IF(Calculation!E50=Calculation!$A$141,Calculation!C50,"")</f>
        <v/>
      </c>
      <c r="E51" s="52" t="str">
        <f>IF(Calculation!E50=Calculation!$A$141,Calculation!F50,"")</f>
        <v/>
      </c>
      <c r="F51" s="54" t="str">
        <f>IF(Calculation!E50=Calculation!$A$141,Calculation!G50,"")</f>
        <v/>
      </c>
      <c r="G51" s="54" t="str">
        <f>IF(Calculation!E50=Calculation!$A$141,Calculation!H50,"")</f>
        <v/>
      </c>
      <c r="H51" s="55"/>
    </row>
    <row r="52">
      <c r="A52" s="52" t="str">
        <f>IF(Calculation!E51=Calculation!$A$141,Calculation!B51,"")</f>
        <v/>
      </c>
      <c r="B52" s="53" t="str">
        <f>IF(Calculation!E51=Calculation!$A$141,Calculation!I51,"")</f>
        <v/>
      </c>
      <c r="C52" s="52" t="str">
        <f>IF(Calculation!E51=Calculation!$A$141,Calculation!D51,"")</f>
        <v/>
      </c>
      <c r="D52" s="52" t="str">
        <f>IF(Calculation!E51=Calculation!$A$141,Calculation!C51,"")</f>
        <v/>
      </c>
      <c r="E52" s="52" t="str">
        <f>IF(Calculation!E51=Calculation!$A$141,Calculation!F51,"")</f>
        <v/>
      </c>
      <c r="F52" s="54" t="str">
        <f>IF(Calculation!E51=Calculation!$A$141,Calculation!G51,"")</f>
        <v/>
      </c>
      <c r="G52" s="54" t="str">
        <f>IF(Calculation!E51=Calculation!$A$141,Calculation!H51,"")</f>
        <v/>
      </c>
      <c r="H52" s="55"/>
    </row>
    <row r="53">
      <c r="A53" s="52" t="str">
        <f>IF(Calculation!E52=Calculation!$A$141,Calculation!B52,"")</f>
        <v/>
      </c>
      <c r="B53" s="53" t="str">
        <f>IF(Calculation!E52=Calculation!$A$141,Calculation!I52,"")</f>
        <v/>
      </c>
      <c r="C53" s="52" t="str">
        <f>IF(Calculation!E52=Calculation!$A$141,Calculation!D52,"")</f>
        <v/>
      </c>
      <c r="D53" s="52" t="str">
        <f>IF(Calculation!E52=Calculation!$A$141,Calculation!C52,"")</f>
        <v/>
      </c>
      <c r="E53" s="52" t="str">
        <f>IF(Calculation!E52=Calculation!$A$141,Calculation!F52,"")</f>
        <v/>
      </c>
      <c r="F53" s="54" t="str">
        <f>IF(Calculation!E52=Calculation!$A$141,Calculation!G52,"")</f>
        <v/>
      </c>
      <c r="G53" s="54" t="str">
        <f>IF(Calculation!E52=Calculation!$A$141,Calculation!H52,"")</f>
        <v/>
      </c>
      <c r="H53" s="55"/>
    </row>
    <row r="54">
      <c r="A54" s="52" t="str">
        <f>IF(Calculation!E53=Calculation!$A$141,Calculation!B53,"")</f>
        <v/>
      </c>
      <c r="B54" s="53" t="str">
        <f>IF(Calculation!E53=Calculation!$A$141,Calculation!I53,"")</f>
        <v/>
      </c>
      <c r="C54" s="52" t="str">
        <f>IF(Calculation!E53=Calculation!$A$141,Calculation!D53,"")</f>
        <v/>
      </c>
      <c r="D54" s="52" t="str">
        <f>IF(Calculation!E53=Calculation!$A$141,Calculation!C53,"")</f>
        <v/>
      </c>
      <c r="E54" s="52" t="str">
        <f>IF(Calculation!E53=Calculation!$A$141,Calculation!F53,"")</f>
        <v/>
      </c>
      <c r="F54" s="54" t="str">
        <f>IF(Calculation!E53=Calculation!$A$141,Calculation!G53,"")</f>
        <v/>
      </c>
      <c r="G54" s="54" t="str">
        <f>IF(Calculation!E53=Calculation!$A$141,Calculation!H53,"")</f>
        <v/>
      </c>
      <c r="H54" s="55"/>
    </row>
    <row r="55">
      <c r="A55" s="52" t="str">
        <f>IF(Calculation!E54=Calculation!$A$141,Calculation!B54,"")</f>
        <v/>
      </c>
      <c r="B55" s="53" t="str">
        <f>IF(Calculation!E54=Calculation!$A$141,Calculation!I54,"")</f>
        <v/>
      </c>
      <c r="C55" s="52" t="str">
        <f>IF(Calculation!E54=Calculation!$A$141,Calculation!D54,"")</f>
        <v/>
      </c>
      <c r="D55" s="52" t="str">
        <f>IF(Calculation!E54=Calculation!$A$141,Calculation!C54,"")</f>
        <v/>
      </c>
      <c r="E55" s="52" t="str">
        <f>IF(Calculation!E54=Calculation!$A$141,Calculation!F54,"")</f>
        <v/>
      </c>
      <c r="F55" s="54" t="str">
        <f>IF(Calculation!E54=Calculation!$A$141,Calculation!G54,"")</f>
        <v/>
      </c>
      <c r="G55" s="54" t="str">
        <f>IF(Calculation!E54=Calculation!$A$141,Calculation!H54,"")</f>
        <v/>
      </c>
      <c r="H55" s="55"/>
    </row>
    <row r="56">
      <c r="A56" s="52" t="str">
        <f>IF(Calculation!E55=Calculation!$A$141,Calculation!B55,"")</f>
        <v/>
      </c>
      <c r="B56" s="53" t="str">
        <f>IF(Calculation!E55=Calculation!$A$141,Calculation!I55,"")</f>
        <v/>
      </c>
      <c r="C56" s="52" t="str">
        <f>IF(Calculation!E55=Calculation!$A$141,Calculation!D55,"")</f>
        <v/>
      </c>
      <c r="D56" s="52" t="str">
        <f>IF(Calculation!E55=Calculation!$A$141,Calculation!C55,"")</f>
        <v/>
      </c>
      <c r="E56" s="52" t="str">
        <f>IF(Calculation!E55=Calculation!$A$141,Calculation!F55,"")</f>
        <v/>
      </c>
      <c r="F56" s="54" t="str">
        <f>IF(Calculation!E55=Calculation!$A$141,Calculation!G55,"")</f>
        <v/>
      </c>
      <c r="G56" s="54" t="str">
        <f>IF(Calculation!E55=Calculation!$A$141,Calculation!H55,"")</f>
        <v/>
      </c>
      <c r="H56" s="55"/>
    </row>
    <row r="57">
      <c r="A57" s="52" t="str">
        <f>IF(Calculation!E56=Calculation!$A$141,Calculation!B56,"")</f>
        <v/>
      </c>
      <c r="B57" s="53" t="str">
        <f>IF(Calculation!E56=Calculation!$A$141,Calculation!I56,"")</f>
        <v/>
      </c>
      <c r="C57" s="52" t="str">
        <f>IF(Calculation!E56=Calculation!$A$141,Calculation!D56,"")</f>
        <v/>
      </c>
      <c r="D57" s="52" t="str">
        <f>IF(Calculation!E56=Calculation!$A$141,Calculation!C56,"")</f>
        <v/>
      </c>
      <c r="E57" s="52" t="str">
        <f>IF(Calculation!E56=Calculation!$A$141,Calculation!F56,"")</f>
        <v/>
      </c>
      <c r="F57" s="54" t="str">
        <f>IF(Calculation!E56=Calculation!$A$141,Calculation!G56,"")</f>
        <v/>
      </c>
      <c r="G57" s="54" t="str">
        <f>IF(Calculation!E56=Calculation!$A$141,Calculation!H56,"")</f>
        <v/>
      </c>
      <c r="H57" s="55"/>
    </row>
    <row r="58">
      <c r="A58" s="52" t="str">
        <f>IF(Calculation!E57=Calculation!$A$141,Calculation!B57,"")</f>
        <v/>
      </c>
      <c r="B58" s="53" t="str">
        <f>IF(Calculation!E57=Calculation!$A$141,Calculation!I57,"")</f>
        <v/>
      </c>
      <c r="C58" s="52" t="str">
        <f>IF(Calculation!E57=Calculation!$A$141,Calculation!D57,"")</f>
        <v/>
      </c>
      <c r="D58" s="52" t="str">
        <f>IF(Calculation!E57=Calculation!$A$141,Calculation!C57,"")</f>
        <v/>
      </c>
      <c r="E58" s="52" t="str">
        <f>IF(Calculation!E57=Calculation!$A$141,Calculation!F57,"")</f>
        <v/>
      </c>
      <c r="F58" s="54" t="str">
        <f>IF(Calculation!E57=Calculation!$A$141,Calculation!G57,"")</f>
        <v/>
      </c>
      <c r="G58" s="54" t="str">
        <f>IF(Calculation!E57=Calculation!$A$141,Calculation!H57,"")</f>
        <v/>
      </c>
      <c r="H58" s="55"/>
    </row>
    <row r="59">
      <c r="A59" s="52" t="str">
        <f>IF(Calculation!E58=Calculation!$A$141,Calculation!B58,"")</f>
        <v/>
      </c>
      <c r="B59" s="53" t="str">
        <f>IF(Calculation!E58=Calculation!$A$141,Calculation!I58,"")</f>
        <v/>
      </c>
      <c r="C59" s="52" t="str">
        <f>IF(Calculation!E58=Calculation!$A$141,Calculation!D58,"")</f>
        <v/>
      </c>
      <c r="D59" s="52" t="str">
        <f>IF(Calculation!E58=Calculation!$A$141,Calculation!C58,"")</f>
        <v/>
      </c>
      <c r="E59" s="52" t="str">
        <f>IF(Calculation!E58=Calculation!$A$141,Calculation!F58,"")</f>
        <v/>
      </c>
      <c r="F59" s="54" t="str">
        <f>IF(Calculation!E58=Calculation!$A$141,Calculation!G58,"")</f>
        <v/>
      </c>
      <c r="G59" s="54" t="str">
        <f>IF(Calculation!E58=Calculation!$A$141,Calculation!H58,"")</f>
        <v/>
      </c>
      <c r="H59" s="55"/>
    </row>
    <row r="60">
      <c r="A60" s="52" t="str">
        <f>IF(Calculation!E59=Calculation!$A$141,Calculation!B59,"")</f>
        <v/>
      </c>
      <c r="B60" s="53" t="str">
        <f>IF(Calculation!E59=Calculation!$A$141,Calculation!I59,"")</f>
        <v/>
      </c>
      <c r="C60" s="52" t="str">
        <f>IF(Calculation!E59=Calculation!$A$141,Calculation!D59,"")</f>
        <v/>
      </c>
      <c r="D60" s="52" t="str">
        <f>IF(Calculation!E59=Calculation!$A$141,Calculation!C59,"")</f>
        <v/>
      </c>
      <c r="E60" s="52" t="str">
        <f>IF(Calculation!E59=Calculation!$A$141,Calculation!F59,"")</f>
        <v/>
      </c>
      <c r="F60" s="54" t="str">
        <f>IF(Calculation!E59=Calculation!$A$141,Calculation!G59,"")</f>
        <v/>
      </c>
      <c r="G60" s="54" t="str">
        <f>IF(Calculation!E59=Calculation!$A$141,Calculation!H59,"")</f>
        <v/>
      </c>
      <c r="H60" s="55"/>
    </row>
    <row r="61">
      <c r="A61" s="52" t="str">
        <f>IF(Calculation!E60=Calculation!$A$141,Calculation!B60,"")</f>
        <v/>
      </c>
      <c r="B61" s="53" t="str">
        <f>IF(Calculation!E60=Calculation!$A$141,Calculation!I60,"")</f>
        <v/>
      </c>
      <c r="C61" s="52" t="str">
        <f>IF(Calculation!E60=Calculation!$A$141,Calculation!D60,"")</f>
        <v/>
      </c>
      <c r="D61" s="52" t="str">
        <f>IF(Calculation!E60=Calculation!$A$141,Calculation!C60,"")</f>
        <v/>
      </c>
      <c r="E61" s="52" t="str">
        <f>IF(Calculation!E60=Calculation!$A$141,Calculation!F60,"")</f>
        <v/>
      </c>
      <c r="F61" s="54" t="str">
        <f>IF(Calculation!E60=Calculation!$A$141,Calculation!G60,"")</f>
        <v/>
      </c>
      <c r="G61" s="54" t="str">
        <f>IF(Calculation!E60=Calculation!$A$141,Calculation!H60,"")</f>
        <v/>
      </c>
      <c r="H61" s="55"/>
    </row>
    <row r="62">
      <c r="A62" s="52" t="str">
        <f>IF(Calculation!E61=Calculation!$A$141,Calculation!B61,"")</f>
        <v/>
      </c>
      <c r="B62" s="53" t="str">
        <f>IF(Calculation!E61=Calculation!$A$141,Calculation!I61,"")</f>
        <v/>
      </c>
      <c r="C62" s="52" t="str">
        <f>IF(Calculation!E61=Calculation!$A$141,Calculation!D61,"")</f>
        <v/>
      </c>
      <c r="D62" s="52" t="str">
        <f>IF(Calculation!E61=Calculation!$A$141,Calculation!C61,"")</f>
        <v/>
      </c>
      <c r="E62" s="52" t="str">
        <f>IF(Calculation!E61=Calculation!$A$141,Calculation!F61,"")</f>
        <v/>
      </c>
      <c r="F62" s="54" t="str">
        <f>IF(Calculation!E61=Calculation!$A$141,Calculation!G61,"")</f>
        <v/>
      </c>
      <c r="G62" s="54" t="str">
        <f>IF(Calculation!E61=Calculation!$A$141,Calculation!H61,"")</f>
        <v/>
      </c>
      <c r="H62" s="55"/>
    </row>
    <row r="63">
      <c r="A63" s="52" t="str">
        <f>IF(Calculation!E62=Calculation!$A$141,Calculation!B62,"")</f>
        <v/>
      </c>
      <c r="B63" s="53" t="str">
        <f>IF(Calculation!E62=Calculation!$A$141,Calculation!I62,"")</f>
        <v/>
      </c>
      <c r="C63" s="52" t="str">
        <f>IF(Calculation!E62=Calculation!$A$141,Calculation!D62,"")</f>
        <v/>
      </c>
      <c r="D63" s="52" t="str">
        <f>IF(Calculation!E62=Calculation!$A$141,Calculation!C62,"")</f>
        <v/>
      </c>
      <c r="E63" s="52" t="str">
        <f>IF(Calculation!E62=Calculation!$A$141,Calculation!F62,"")</f>
        <v/>
      </c>
      <c r="F63" s="54" t="str">
        <f>IF(Calculation!E62=Calculation!$A$141,Calculation!G62,"")</f>
        <v/>
      </c>
      <c r="G63" s="54" t="str">
        <f>IF(Calculation!E62=Calculation!$A$141,Calculation!H62,"")</f>
        <v/>
      </c>
      <c r="H63" s="55"/>
    </row>
    <row r="64">
      <c r="A64" s="52" t="str">
        <f>IF(Calculation!E63=Calculation!$A$141,Calculation!B63,"")</f>
        <v/>
      </c>
      <c r="B64" s="53" t="str">
        <f>IF(Calculation!E63=Calculation!$A$141,Calculation!I63,"")</f>
        <v/>
      </c>
      <c r="C64" s="52" t="str">
        <f>IF(Calculation!E63=Calculation!$A$141,Calculation!D63,"")</f>
        <v/>
      </c>
      <c r="D64" s="52" t="str">
        <f>IF(Calculation!E63=Calculation!$A$141,Calculation!C63,"")</f>
        <v/>
      </c>
      <c r="E64" s="52" t="str">
        <f>IF(Calculation!E63=Calculation!$A$141,Calculation!F63,"")</f>
        <v/>
      </c>
      <c r="F64" s="54" t="str">
        <f>IF(Calculation!E63=Calculation!$A$141,Calculation!G63,"")</f>
        <v/>
      </c>
      <c r="G64" s="54" t="str">
        <f>IF(Calculation!E63=Calculation!$A$141,Calculation!H63,"")</f>
        <v/>
      </c>
      <c r="H64" s="55"/>
    </row>
    <row r="65">
      <c r="A65" s="52" t="str">
        <f>IF(Calculation!E64=Calculation!$A$141,Calculation!B64,"")</f>
        <v/>
      </c>
      <c r="B65" s="53" t="str">
        <f>IF(Calculation!E64=Calculation!$A$141,Calculation!I64,"")</f>
        <v/>
      </c>
      <c r="C65" s="52" t="str">
        <f>IF(Calculation!E64=Calculation!$A$141,Calculation!D64,"")</f>
        <v/>
      </c>
      <c r="D65" s="52" t="str">
        <f>IF(Calculation!E64=Calculation!$A$141,Calculation!C64,"")</f>
        <v/>
      </c>
      <c r="E65" s="52" t="str">
        <f>IF(Calculation!E64=Calculation!$A$141,Calculation!F64,"")</f>
        <v/>
      </c>
      <c r="F65" s="54" t="str">
        <f>IF(Calculation!E64=Calculation!$A$141,Calculation!G64,"")</f>
        <v/>
      </c>
      <c r="G65" s="54" t="str">
        <f>IF(Calculation!E64=Calculation!$A$141,Calculation!H64,"")</f>
        <v/>
      </c>
      <c r="H65" s="55"/>
    </row>
    <row r="66">
      <c r="A66" s="52" t="str">
        <f>IF(Calculation!E65=Calculation!$A$141,Calculation!B65,"")</f>
        <v/>
      </c>
      <c r="B66" s="53" t="str">
        <f>IF(Calculation!E65=Calculation!$A$141,Calculation!I65,"")</f>
        <v/>
      </c>
      <c r="C66" s="52" t="str">
        <f>IF(Calculation!E65=Calculation!$A$141,Calculation!D65,"")</f>
        <v/>
      </c>
      <c r="D66" s="52" t="str">
        <f>IF(Calculation!E65=Calculation!$A$141,Calculation!C65,"")</f>
        <v/>
      </c>
      <c r="E66" s="52" t="str">
        <f>IF(Calculation!E65=Calculation!$A$141,Calculation!F65,"")</f>
        <v/>
      </c>
      <c r="F66" s="54" t="str">
        <f>IF(Calculation!E65=Calculation!$A$141,Calculation!G65,"")</f>
        <v/>
      </c>
      <c r="G66" s="54" t="str">
        <f>IF(Calculation!E65=Calculation!$A$141,Calculation!H65,"")</f>
        <v/>
      </c>
      <c r="H66" s="55"/>
    </row>
    <row r="67">
      <c r="A67" s="52" t="str">
        <f>IF(Calculation!E66=Calculation!$A$141,Calculation!B66,"")</f>
        <v/>
      </c>
      <c r="B67" s="53" t="str">
        <f>IF(Calculation!E66=Calculation!$A$141,Calculation!I66,"")</f>
        <v/>
      </c>
      <c r="C67" s="52" t="str">
        <f>IF(Calculation!E66=Calculation!$A$141,Calculation!D66,"")</f>
        <v/>
      </c>
      <c r="D67" s="52" t="str">
        <f>IF(Calculation!E66=Calculation!$A$141,Calculation!C66,"")</f>
        <v/>
      </c>
      <c r="E67" s="52" t="str">
        <f>IF(Calculation!E66=Calculation!$A$141,Calculation!F66,"")</f>
        <v/>
      </c>
      <c r="F67" s="54" t="str">
        <f>IF(Calculation!E66=Calculation!$A$141,Calculation!G66,"")</f>
        <v/>
      </c>
      <c r="G67" s="54" t="str">
        <f>IF(Calculation!E66=Calculation!$A$141,Calculation!H66,"")</f>
        <v/>
      </c>
      <c r="H67" s="55"/>
    </row>
    <row r="68">
      <c r="A68" s="52" t="str">
        <f>IF(Calculation!E67=Calculation!$A$141,Calculation!B67,"")</f>
        <v/>
      </c>
      <c r="B68" s="53" t="str">
        <f>IF(Calculation!E67=Calculation!$A$141,Calculation!I67,"")</f>
        <v/>
      </c>
      <c r="C68" s="52" t="str">
        <f>IF(Calculation!E67=Calculation!$A$141,Calculation!D67,"")</f>
        <v/>
      </c>
      <c r="D68" s="52" t="str">
        <f>IF(Calculation!E67=Calculation!$A$141,Calculation!C67,"")</f>
        <v/>
      </c>
      <c r="E68" s="52" t="str">
        <f>IF(Calculation!E67=Calculation!$A$141,Calculation!F67,"")</f>
        <v/>
      </c>
      <c r="F68" s="54" t="str">
        <f>IF(Calculation!E67=Calculation!$A$141,Calculation!G67,"")</f>
        <v/>
      </c>
      <c r="G68" s="54" t="str">
        <f>IF(Calculation!E67=Calculation!$A$141,Calculation!H67,"")</f>
        <v/>
      </c>
      <c r="H68" s="55"/>
    </row>
    <row r="69">
      <c r="A69" s="52" t="str">
        <f>IF(Calculation!E68=Calculation!$A$141,Calculation!B68,"")</f>
        <v/>
      </c>
      <c r="B69" s="53" t="str">
        <f>IF(Calculation!E68=Calculation!$A$141,Calculation!I68,"")</f>
        <v/>
      </c>
      <c r="C69" s="52" t="str">
        <f>IF(Calculation!E68=Calculation!$A$141,Calculation!D68,"")</f>
        <v/>
      </c>
      <c r="D69" s="52" t="str">
        <f>IF(Calculation!E68=Calculation!$A$141,Calculation!C68,"")</f>
        <v/>
      </c>
      <c r="E69" s="52" t="str">
        <f>IF(Calculation!E68=Calculation!$A$141,Calculation!F68,"")</f>
        <v/>
      </c>
      <c r="F69" s="54" t="str">
        <f>IF(Calculation!E68=Calculation!$A$141,Calculation!G68,"")</f>
        <v/>
      </c>
      <c r="G69" s="54" t="str">
        <f>IF(Calculation!E68=Calculation!$A$141,Calculation!H68,"")</f>
        <v/>
      </c>
      <c r="H69" s="55"/>
    </row>
    <row r="70">
      <c r="A70" s="52" t="str">
        <f>IF(Calculation!E69=Calculation!$A$141,Calculation!B69,"")</f>
        <v/>
      </c>
      <c r="B70" s="53" t="str">
        <f>IF(Calculation!E69=Calculation!$A$141,Calculation!I69,"")</f>
        <v/>
      </c>
      <c r="C70" s="52" t="str">
        <f>IF(Calculation!E69=Calculation!$A$141,Calculation!D69,"")</f>
        <v/>
      </c>
      <c r="D70" s="52" t="str">
        <f>IF(Calculation!E69=Calculation!$A$141,Calculation!C69,"")</f>
        <v/>
      </c>
      <c r="E70" s="52" t="str">
        <f>IF(Calculation!E69=Calculation!$A$141,Calculation!F69,"")</f>
        <v/>
      </c>
      <c r="F70" s="54" t="str">
        <f>IF(Calculation!E69=Calculation!$A$141,Calculation!G69,"")</f>
        <v/>
      </c>
      <c r="G70" s="54" t="str">
        <f>IF(Calculation!E69=Calculation!$A$141,Calculation!H69,"")</f>
        <v/>
      </c>
      <c r="H70" s="55"/>
    </row>
    <row r="71">
      <c r="A71" s="52" t="str">
        <f>IF(Calculation!E70=Calculation!$A$141,Calculation!B70,"")</f>
        <v/>
      </c>
      <c r="B71" s="53" t="str">
        <f>IF(Calculation!E70=Calculation!$A$141,Calculation!I70,"")</f>
        <v/>
      </c>
      <c r="C71" s="52" t="str">
        <f>IF(Calculation!E70=Calculation!$A$141,Calculation!D70,"")</f>
        <v/>
      </c>
      <c r="D71" s="52" t="str">
        <f>IF(Calculation!E70=Calculation!$A$141,Calculation!C70,"")</f>
        <v/>
      </c>
      <c r="E71" s="52" t="str">
        <f>IF(Calculation!E70=Calculation!$A$141,Calculation!F70,"")</f>
        <v/>
      </c>
      <c r="F71" s="54" t="str">
        <f>IF(Calculation!E70=Calculation!$A$141,Calculation!G70,"")</f>
        <v/>
      </c>
      <c r="G71" s="54" t="str">
        <f>IF(Calculation!E70=Calculation!$A$141,Calculation!H70,"")</f>
        <v/>
      </c>
      <c r="H71" s="55"/>
    </row>
    <row r="72">
      <c r="A72" s="52" t="str">
        <f>IF(Calculation!E71=Calculation!$A$141,Calculation!B71,"")</f>
        <v/>
      </c>
      <c r="B72" s="53" t="str">
        <f>IF(Calculation!E71=Calculation!$A$141,Calculation!I71,"")</f>
        <v/>
      </c>
      <c r="C72" s="52" t="str">
        <f>IF(Calculation!E71=Calculation!$A$141,Calculation!D71,"")</f>
        <v/>
      </c>
      <c r="D72" s="52" t="str">
        <f>IF(Calculation!E71=Calculation!$A$141,Calculation!C71,"")</f>
        <v/>
      </c>
      <c r="E72" s="52" t="str">
        <f>IF(Calculation!E71=Calculation!$A$141,Calculation!F71,"")</f>
        <v/>
      </c>
      <c r="F72" s="54" t="str">
        <f>IF(Calculation!E71=Calculation!$A$141,Calculation!G71,"")</f>
        <v/>
      </c>
      <c r="G72" s="54" t="str">
        <f>IF(Calculation!E71=Calculation!$A$141,Calculation!H71,"")</f>
        <v/>
      </c>
      <c r="H72" s="55"/>
    </row>
    <row r="73">
      <c r="A73" s="52" t="str">
        <f>IF(Calculation!E72=Calculation!$A$141,Calculation!B72,"")</f>
        <v/>
      </c>
      <c r="B73" s="53" t="str">
        <f>IF(Calculation!E72=Calculation!$A$141,Calculation!I72,"")</f>
        <v/>
      </c>
      <c r="C73" s="52" t="str">
        <f>IF(Calculation!E72=Calculation!$A$141,Calculation!D72,"")</f>
        <v/>
      </c>
      <c r="D73" s="52" t="str">
        <f>IF(Calculation!E72=Calculation!$A$141,Calculation!C72,"")</f>
        <v/>
      </c>
      <c r="E73" s="52" t="str">
        <f>IF(Calculation!E72=Calculation!$A$141,Calculation!F72,"")</f>
        <v/>
      </c>
      <c r="F73" s="54" t="str">
        <f>IF(Calculation!E72=Calculation!$A$141,Calculation!G72,"")</f>
        <v/>
      </c>
      <c r="G73" s="54" t="str">
        <f>IF(Calculation!E72=Calculation!$A$141,Calculation!H72,"")</f>
        <v/>
      </c>
      <c r="H73" s="55"/>
    </row>
    <row r="74">
      <c r="A74" s="52" t="str">
        <f>IF(Calculation!E73=Calculation!$A$141,Calculation!B73,"")</f>
        <v/>
      </c>
      <c r="B74" s="53" t="str">
        <f>IF(Calculation!E73=Calculation!$A$141,Calculation!I73,"")</f>
        <v/>
      </c>
      <c r="C74" s="52" t="str">
        <f>IF(Calculation!E73=Calculation!$A$141,Calculation!D73,"")</f>
        <v/>
      </c>
      <c r="D74" s="52" t="str">
        <f>IF(Calculation!E73=Calculation!$A$141,Calculation!C73,"")</f>
        <v/>
      </c>
      <c r="E74" s="52" t="str">
        <f>IF(Calculation!E73=Calculation!$A$141,Calculation!F73,"")</f>
        <v/>
      </c>
      <c r="F74" s="54" t="str">
        <f>IF(Calculation!E73=Calculation!$A$141,Calculation!G73,"")</f>
        <v/>
      </c>
      <c r="G74" s="54" t="str">
        <f>IF(Calculation!E73=Calculation!$A$141,Calculation!H73,"")</f>
        <v/>
      </c>
      <c r="H74" s="55"/>
    </row>
    <row r="75">
      <c r="A75" s="52" t="str">
        <f>IF(Calculation!E74=Calculation!$A$141,Calculation!B74,"")</f>
        <v/>
      </c>
      <c r="B75" s="53" t="str">
        <f>IF(Calculation!E74=Calculation!$A$141,Calculation!I74,"")</f>
        <v/>
      </c>
      <c r="C75" s="52" t="str">
        <f>IF(Calculation!E74=Calculation!$A$141,Calculation!D74,"")</f>
        <v/>
      </c>
      <c r="D75" s="52" t="str">
        <f>IF(Calculation!E74=Calculation!$A$141,Calculation!C74,"")</f>
        <v/>
      </c>
      <c r="E75" s="52" t="str">
        <f>IF(Calculation!E74=Calculation!$A$141,Calculation!F74,"")</f>
        <v/>
      </c>
      <c r="F75" s="54" t="str">
        <f>IF(Calculation!E74=Calculation!$A$141,Calculation!G74,"")</f>
        <v/>
      </c>
      <c r="G75" s="54" t="str">
        <f>IF(Calculation!E74=Calculation!$A$141,Calculation!H74,"")</f>
        <v/>
      </c>
      <c r="H75" s="55"/>
    </row>
    <row r="76">
      <c r="A76" s="52" t="str">
        <f>IF(Calculation!E75=Calculation!$A$141,Calculation!B75,"")</f>
        <v/>
      </c>
      <c r="B76" s="53" t="str">
        <f>IF(Calculation!E75=Calculation!$A$141,Calculation!I75,"")</f>
        <v/>
      </c>
      <c r="C76" s="52" t="str">
        <f>IF(Calculation!E75=Calculation!$A$141,Calculation!D75,"")</f>
        <v/>
      </c>
      <c r="D76" s="52" t="str">
        <f>IF(Calculation!E75=Calculation!$A$141,Calculation!C75,"")</f>
        <v/>
      </c>
      <c r="E76" s="52" t="str">
        <f>IF(Calculation!E75=Calculation!$A$141,Calculation!F75,"")</f>
        <v/>
      </c>
      <c r="F76" s="54" t="str">
        <f>IF(Calculation!E75=Calculation!$A$141,Calculation!G75,"")</f>
        <v/>
      </c>
      <c r="G76" s="54" t="str">
        <f>IF(Calculation!E75=Calculation!$A$141,Calculation!H75,"")</f>
        <v/>
      </c>
      <c r="H76" s="55"/>
    </row>
    <row r="77">
      <c r="A77" s="52" t="str">
        <f>IF(Calculation!E76=Calculation!$A$141,Calculation!B76,"")</f>
        <v/>
      </c>
      <c r="B77" s="53" t="str">
        <f>IF(Calculation!E76=Calculation!$A$141,Calculation!I76,"")</f>
        <v/>
      </c>
      <c r="C77" s="52" t="str">
        <f>IF(Calculation!E76=Calculation!$A$141,Calculation!D76,"")</f>
        <v/>
      </c>
      <c r="D77" s="52" t="str">
        <f>IF(Calculation!E76=Calculation!$A$141,Calculation!C76,"")</f>
        <v/>
      </c>
      <c r="E77" s="52" t="str">
        <f>IF(Calculation!E76=Calculation!$A$141,Calculation!F76,"")</f>
        <v/>
      </c>
      <c r="F77" s="54" t="str">
        <f>IF(Calculation!E76=Calculation!$A$141,Calculation!G76,"")</f>
        <v/>
      </c>
      <c r="G77" s="54" t="str">
        <f>IF(Calculation!E76=Calculation!$A$141,Calculation!H76,"")</f>
        <v/>
      </c>
      <c r="H77" s="55"/>
    </row>
    <row r="78" ht="22.5" customHeight="1">
      <c r="A78" s="52" t="str">
        <f>IF(Calculation!E77=Calculation!$A$141,Calculation!B77,"")</f>
        <v/>
      </c>
      <c r="B78" s="53" t="str">
        <f>IF(Calculation!E77=Calculation!$A$141,Calculation!I77,"")</f>
        <v/>
      </c>
      <c r="C78" s="52" t="str">
        <f>IF(Calculation!E77=Calculation!$A$141,Calculation!D77,"")</f>
        <v/>
      </c>
      <c r="D78" s="52" t="str">
        <f>IF(Calculation!E77=Calculation!$A$141,Calculation!C77,"")</f>
        <v/>
      </c>
      <c r="E78" s="52" t="str">
        <f>IF(Calculation!E77=Calculation!$A$141,Calculation!F77,"")</f>
        <v/>
      </c>
      <c r="F78" s="54" t="str">
        <f>IF(Calculation!E77=Calculation!$A$141,Calculation!G77,"")</f>
        <v/>
      </c>
      <c r="G78" s="54" t="str">
        <f>IF(Calculation!E77=Calculation!$A$141,Calculation!H77,"")</f>
        <v/>
      </c>
      <c r="H78" s="55"/>
    </row>
    <row r="79" ht="21.75" customHeight="1">
      <c r="A79" s="52" t="str">
        <f>IF(Calculation!E78=Calculation!$A$141,Calculation!B78,"")</f>
        <v/>
      </c>
      <c r="B79" s="53" t="str">
        <f>IF(Calculation!E78=Calculation!$A$141,Calculation!I78,"")</f>
        <v/>
      </c>
      <c r="C79" s="52" t="str">
        <f>IF(Calculation!E78=Calculation!$A$141,Calculation!D78,"")</f>
        <v/>
      </c>
      <c r="D79" s="52" t="str">
        <f>IF(Calculation!E78=Calculation!$A$141,Calculation!C78,"")</f>
        <v/>
      </c>
      <c r="E79" s="52" t="str">
        <f>IF(Calculation!E78=Calculation!$A$141,Calculation!F78,"")</f>
        <v/>
      </c>
      <c r="F79" s="54" t="str">
        <f>IF(Calculation!E78=Calculation!$A$141,Calculation!G78,"")</f>
        <v/>
      </c>
      <c r="G79" s="54" t="str">
        <f>IF(Calculation!E78=Calculation!$A$141,Calculation!H78,"")</f>
        <v/>
      </c>
      <c r="H79" s="55"/>
    </row>
    <row r="80" ht="24.0" customHeight="1">
      <c r="A80" s="52" t="str">
        <f>IF(Calculation!E79=Calculation!$A$141,Calculation!B79,"")</f>
        <v/>
      </c>
      <c r="B80" s="53" t="str">
        <f>IF(Calculation!E79=Calculation!$A$141,Calculation!I79,"")</f>
        <v/>
      </c>
      <c r="C80" s="52" t="str">
        <f>IF(Calculation!E79=Calculation!$A$141,Calculation!D79,"")</f>
        <v/>
      </c>
      <c r="D80" s="52" t="str">
        <f>IF(Calculation!E79=Calculation!$A$141,Calculation!C79,"")</f>
        <v/>
      </c>
      <c r="E80" s="52" t="str">
        <f>IF(Calculation!E79=Calculation!$A$141,Calculation!F79,"")</f>
        <v/>
      </c>
      <c r="F80" s="54" t="str">
        <f>IF(Calculation!E79=Calculation!$A$141,Calculation!G79,"")</f>
        <v/>
      </c>
      <c r="G80" s="54" t="str">
        <f>IF(Calculation!E79=Calculation!$A$141,Calculation!H79,"")</f>
        <v/>
      </c>
      <c r="H80" s="55"/>
    </row>
    <row r="81" ht="21.75" customHeight="1">
      <c r="A81" s="52" t="str">
        <f>IF(Calculation!E80=Calculation!$A$141,Calculation!B80,"")</f>
        <v/>
      </c>
      <c r="B81" s="53" t="str">
        <f>IF(Calculation!E80=Calculation!$A$141,Calculation!I80,"")</f>
        <v/>
      </c>
      <c r="C81" s="52" t="str">
        <f>IF(Calculation!E80=Calculation!$A$141,Calculation!D80,"")</f>
        <v/>
      </c>
      <c r="D81" s="52" t="str">
        <f>IF(Calculation!E80=Calculation!$A$141,Calculation!C80,"")</f>
        <v/>
      </c>
      <c r="E81" s="52" t="str">
        <f>IF(Calculation!E80=Calculation!$A$141,Calculation!F80,"")</f>
        <v/>
      </c>
      <c r="F81" s="54" t="str">
        <f>IF(Calculation!E80=Calculation!$A$141,Calculation!G80,"")</f>
        <v/>
      </c>
      <c r="G81" s="54" t="str">
        <f>IF(Calculation!E80=Calculation!$A$141,Calculation!H80,"")</f>
        <v/>
      </c>
      <c r="H81" s="55"/>
    </row>
    <row r="82" ht="20.25" customHeight="1">
      <c r="A82" s="52" t="str">
        <f>IF(Calculation!E81=Calculation!$A$141,Calculation!B81,"")</f>
        <v/>
      </c>
      <c r="B82" s="53" t="str">
        <f>IF(Calculation!E81=Calculation!$A$141,Calculation!I81,"")</f>
        <v/>
      </c>
      <c r="C82" s="52" t="str">
        <f>IF(Calculation!E81=Calculation!$A$141,Calculation!D81,"")</f>
        <v/>
      </c>
      <c r="D82" s="52" t="str">
        <f>IF(Calculation!E81=Calculation!$A$141,Calculation!C81,"")</f>
        <v/>
      </c>
      <c r="E82" s="52" t="str">
        <f>IF(Calculation!E81=Calculation!$A$141,Calculation!F81,"")</f>
        <v/>
      </c>
      <c r="F82" s="54" t="str">
        <f>IF(Calculation!E81=Calculation!$A$141,Calculation!G81,"")</f>
        <v/>
      </c>
      <c r="G82" s="54" t="str">
        <f>IF(Calculation!E81=Calculation!$A$141,Calculation!H81,"")</f>
        <v/>
      </c>
      <c r="H82" s="55"/>
    </row>
    <row r="83">
      <c r="A83" s="52" t="str">
        <f>IF(Calculation!E82=Calculation!$A$141,Calculation!B82,"")</f>
        <v/>
      </c>
      <c r="B83" s="53" t="str">
        <f>IF(Calculation!E82=Calculation!$A$141,Calculation!I82,"")</f>
        <v/>
      </c>
      <c r="C83" s="52" t="str">
        <f>IF(Calculation!E82=Calculation!$A$141,Calculation!D82,"")</f>
        <v/>
      </c>
      <c r="D83" s="52" t="str">
        <f>IF(Calculation!E82=Calculation!$A$141,Calculation!C82,"")</f>
        <v/>
      </c>
      <c r="E83" s="52" t="str">
        <f>IF(Calculation!E82=Calculation!$A$141,Calculation!F82,"")</f>
        <v/>
      </c>
      <c r="F83" s="54" t="str">
        <f>IF(Calculation!E82=Calculation!$A$141,Calculation!G82,"")</f>
        <v/>
      </c>
      <c r="G83" s="54" t="str">
        <f>IF(Calculation!E82=Calculation!$A$141,Calculation!H82,"")</f>
        <v/>
      </c>
      <c r="H83" s="55"/>
    </row>
    <row r="84">
      <c r="A84" s="52" t="str">
        <f>IF(Calculation!E83=Calculation!$A$141,Calculation!B83,"")</f>
        <v/>
      </c>
      <c r="B84" s="53" t="str">
        <f>IF(Calculation!E83=Calculation!$A$141,Calculation!I83,"")</f>
        <v/>
      </c>
      <c r="C84" s="52" t="str">
        <f>IF(Calculation!E83=Calculation!$A$141,Calculation!D83,"")</f>
        <v/>
      </c>
      <c r="D84" s="52" t="str">
        <f>IF(Calculation!E83=Calculation!$A$141,Calculation!C83,"")</f>
        <v/>
      </c>
      <c r="E84" s="52" t="str">
        <f>IF(Calculation!E83=Calculation!$A$141,Calculation!F83,"")</f>
        <v/>
      </c>
      <c r="F84" s="54" t="str">
        <f>IF(Calculation!E83=Calculation!$A$141,Calculation!G83,"")</f>
        <v/>
      </c>
      <c r="G84" s="54" t="str">
        <f>IF(Calculation!E83=Calculation!$A$141,Calculation!H83,"")</f>
        <v/>
      </c>
      <c r="H84" s="55"/>
    </row>
    <row r="85">
      <c r="A85" s="52" t="str">
        <f>IF(Calculation!E84=Calculation!$A$141,Calculation!B84,"")</f>
        <v/>
      </c>
      <c r="B85" s="53" t="str">
        <f>IF(Calculation!E84=Calculation!$A$141,Calculation!I84,"")</f>
        <v/>
      </c>
      <c r="C85" s="52" t="str">
        <f>IF(Calculation!E84=Calculation!$A$141,Calculation!D84,"")</f>
        <v/>
      </c>
      <c r="D85" s="52" t="str">
        <f>IF(Calculation!E84=Calculation!$A$141,Calculation!C84,"")</f>
        <v/>
      </c>
      <c r="E85" s="52" t="str">
        <f>IF(Calculation!E84=Calculation!$A$141,Calculation!F84,"")</f>
        <v/>
      </c>
      <c r="F85" s="54" t="str">
        <f>IF(Calculation!E84=Calculation!$A$141,Calculation!G84,"")</f>
        <v/>
      </c>
      <c r="G85" s="54" t="str">
        <f>IF(Calculation!E84=Calculation!$A$141,Calculation!H84,"")</f>
        <v/>
      </c>
      <c r="H85" s="55"/>
    </row>
    <row r="86">
      <c r="A86" s="52" t="str">
        <f>IF(Calculation!E85=Calculation!$A$141,Calculation!B85,"")</f>
        <v/>
      </c>
      <c r="B86" s="53" t="str">
        <f>IF(Calculation!E85=Calculation!$A$141,Calculation!I85,"")</f>
        <v/>
      </c>
      <c r="C86" s="52" t="str">
        <f>IF(Calculation!E85=Calculation!$A$141,Calculation!D85,"")</f>
        <v/>
      </c>
      <c r="D86" s="52" t="str">
        <f>IF(Calculation!E85=Calculation!$A$141,Calculation!C85,"")</f>
        <v/>
      </c>
      <c r="E86" s="52" t="str">
        <f>IF(Calculation!E85=Calculation!$A$141,Calculation!F85,"")</f>
        <v/>
      </c>
      <c r="F86" s="54" t="str">
        <f>IF(Calculation!E85=Calculation!$A$141,Calculation!G85,"")</f>
        <v/>
      </c>
      <c r="G86" s="54" t="str">
        <f>IF(Calculation!E85=Calculation!$A$141,Calculation!H85,"")</f>
        <v/>
      </c>
      <c r="H86" s="55"/>
    </row>
    <row r="87">
      <c r="A87" s="52" t="str">
        <f>IF(Calculation!E86=Calculation!$A$141,Calculation!B86,"")</f>
        <v/>
      </c>
      <c r="B87" s="53" t="str">
        <f>IF(Calculation!E86=Calculation!$A$141,Calculation!I86,"")</f>
        <v/>
      </c>
      <c r="C87" s="52" t="str">
        <f>IF(Calculation!E86=Calculation!$A$141,Calculation!D86,"")</f>
        <v/>
      </c>
      <c r="D87" s="52" t="str">
        <f>IF(Calculation!E86=Calculation!$A$141,Calculation!C86,"")</f>
        <v/>
      </c>
      <c r="E87" s="52" t="str">
        <f>IF(Calculation!E86=Calculation!$A$141,Calculation!F86,"")</f>
        <v/>
      </c>
      <c r="F87" s="54" t="str">
        <f>IF(Calculation!E86=Calculation!$A$141,Calculation!G86,"")</f>
        <v/>
      </c>
      <c r="G87" s="54" t="str">
        <f>IF(Calculation!E86=Calculation!$A$141,Calculation!H86,"")</f>
        <v/>
      </c>
      <c r="H87" s="55"/>
    </row>
    <row r="88">
      <c r="A88" s="52" t="str">
        <f>IF(Calculation!E87=Calculation!$A$141,Calculation!B87,"")</f>
        <v/>
      </c>
      <c r="B88" s="53" t="str">
        <f>IF(Calculation!E87=Calculation!$A$141,Calculation!I87,"")</f>
        <v/>
      </c>
      <c r="C88" s="52" t="str">
        <f>IF(Calculation!E87=Calculation!$A$141,Calculation!D87,"")</f>
        <v/>
      </c>
      <c r="D88" s="52" t="str">
        <f>IF(Calculation!E87=Calculation!$A$141,Calculation!C87,"")</f>
        <v/>
      </c>
      <c r="E88" s="52" t="str">
        <f>IF(Calculation!E87=Calculation!$A$141,Calculation!F87,"")</f>
        <v/>
      </c>
      <c r="F88" s="54" t="str">
        <f>IF(Calculation!E87=Calculation!$A$141,Calculation!G87,"")</f>
        <v/>
      </c>
      <c r="G88" s="54" t="str">
        <f>IF(Calculation!E87=Calculation!$A$141,Calculation!H87,"")</f>
        <v/>
      </c>
      <c r="H88" s="55"/>
    </row>
    <row r="89">
      <c r="A89" s="52" t="str">
        <f>IF(Calculation!E88=Calculation!$A$141,Calculation!B88,"")</f>
        <v/>
      </c>
      <c r="B89" s="53" t="str">
        <f>IF(Calculation!E88=Calculation!$A$141,Calculation!I88,"")</f>
        <v/>
      </c>
      <c r="C89" s="52" t="str">
        <f>IF(Calculation!E88=Calculation!$A$141,Calculation!D88,"")</f>
        <v/>
      </c>
      <c r="D89" s="52" t="str">
        <f>IF(Calculation!E88=Calculation!$A$141,Calculation!C88,"")</f>
        <v/>
      </c>
      <c r="E89" s="52" t="str">
        <f>IF(Calculation!E88=Calculation!$A$141,Calculation!F88,"")</f>
        <v/>
      </c>
      <c r="F89" s="54" t="str">
        <f>IF(Calculation!E88=Calculation!$A$141,Calculation!G88,"")</f>
        <v/>
      </c>
      <c r="G89" s="54" t="str">
        <f>IF(Calculation!E88=Calculation!$A$141,Calculation!H88,"")</f>
        <v/>
      </c>
      <c r="H89" s="55"/>
    </row>
    <row r="90">
      <c r="A90" s="52" t="str">
        <f>IF(Calculation!E89=Calculation!$A$141,Calculation!B89,"")</f>
        <v/>
      </c>
      <c r="B90" s="53" t="str">
        <f>IF(Calculation!E89=Calculation!$A$141,Calculation!I89,"")</f>
        <v/>
      </c>
      <c r="C90" s="52" t="str">
        <f>IF(Calculation!E89=Calculation!$A$141,Calculation!D89,"")</f>
        <v/>
      </c>
      <c r="D90" s="52" t="str">
        <f>IF(Calculation!E89=Calculation!$A$141,Calculation!C89,"")</f>
        <v/>
      </c>
      <c r="E90" s="52" t="str">
        <f>IF(Calculation!E89=Calculation!$A$141,Calculation!F89,"")</f>
        <v/>
      </c>
      <c r="F90" s="54" t="str">
        <f>IF(Calculation!E89=Calculation!$A$141,Calculation!G89,"")</f>
        <v/>
      </c>
      <c r="G90" s="54" t="str">
        <f>IF(Calculation!E89=Calculation!$A$141,Calculation!H89,"")</f>
        <v/>
      </c>
      <c r="H90" s="55"/>
    </row>
    <row r="91">
      <c r="A91" s="52" t="str">
        <f>IF(Calculation!E90=Calculation!$A$141,Calculation!B90,"")</f>
        <v/>
      </c>
      <c r="B91" s="53" t="str">
        <f>IF(Calculation!E90=Calculation!$A$141,Calculation!I90,"")</f>
        <v/>
      </c>
      <c r="C91" s="52" t="str">
        <f>IF(Calculation!E90=Calculation!$A$141,Calculation!D90,"")</f>
        <v/>
      </c>
      <c r="D91" s="52" t="str">
        <f>IF(Calculation!E90=Calculation!$A$141,Calculation!C90,"")</f>
        <v/>
      </c>
      <c r="E91" s="52" t="str">
        <f>IF(Calculation!E90=Calculation!$A$141,Calculation!F90,"")</f>
        <v/>
      </c>
      <c r="F91" s="54" t="str">
        <f>IF(Calculation!E90=Calculation!$A$141,Calculation!G90,"")</f>
        <v/>
      </c>
      <c r="G91" s="54" t="str">
        <f>IF(Calculation!E90=Calculation!$A$141,Calculation!H90,"")</f>
        <v/>
      </c>
      <c r="H91" s="55"/>
    </row>
    <row r="92">
      <c r="A92" s="52" t="str">
        <f>IF(Calculation!E91=Calculation!$A$141,Calculation!B91,"")</f>
        <v/>
      </c>
      <c r="B92" s="53" t="str">
        <f>IF(Calculation!E91=Calculation!$A$141,Calculation!I91,"")</f>
        <v/>
      </c>
      <c r="C92" s="52" t="str">
        <f>IF(Calculation!E91=Calculation!$A$141,Calculation!D91,"")</f>
        <v/>
      </c>
      <c r="D92" s="52" t="str">
        <f>IF(Calculation!E91=Calculation!$A$141,Calculation!C91,"")</f>
        <v/>
      </c>
      <c r="E92" s="52" t="str">
        <f>IF(Calculation!E91=Calculation!$A$141,Calculation!F91,"")</f>
        <v/>
      </c>
      <c r="F92" s="54" t="str">
        <f>IF(Calculation!E91=Calculation!$A$141,Calculation!G91,"")</f>
        <v/>
      </c>
      <c r="G92" s="54" t="str">
        <f>IF(Calculation!E91=Calculation!$A$141,Calculation!H91,"")</f>
        <v/>
      </c>
      <c r="H92" s="55"/>
    </row>
    <row r="93">
      <c r="A93" s="52" t="str">
        <f>IF(Calculation!E92=Calculation!$A$141,Calculation!B92,"")</f>
        <v/>
      </c>
      <c r="B93" s="53" t="str">
        <f>IF(Calculation!E92=Calculation!$A$141,Calculation!I92,"")</f>
        <v/>
      </c>
      <c r="C93" s="52" t="str">
        <f>IF(Calculation!E92=Calculation!$A$141,Calculation!D92,"")</f>
        <v/>
      </c>
      <c r="D93" s="52" t="str">
        <f>IF(Calculation!E92=Calculation!$A$141,Calculation!C92,"")</f>
        <v/>
      </c>
      <c r="E93" s="52" t="str">
        <f>IF(Calculation!E92=Calculation!$A$141,Calculation!F92,"")</f>
        <v/>
      </c>
      <c r="F93" s="54" t="str">
        <f>IF(Calculation!E92=Calculation!$A$141,Calculation!G92,"")</f>
        <v/>
      </c>
      <c r="G93" s="54" t="str">
        <f>IF(Calculation!E92=Calculation!$A$141,Calculation!H92,"")</f>
        <v/>
      </c>
      <c r="H93" s="55"/>
    </row>
    <row r="94">
      <c r="A94" s="52" t="str">
        <f>IF(Calculation!E93=Calculation!$A$141,Calculation!B93,"")</f>
        <v/>
      </c>
      <c r="B94" s="53" t="str">
        <f>IF(Calculation!E93=Calculation!$A$141,Calculation!I93,"")</f>
        <v/>
      </c>
      <c r="C94" s="52" t="str">
        <f>IF(Calculation!E93=Calculation!$A$141,Calculation!D93,"")</f>
        <v/>
      </c>
      <c r="D94" s="52" t="str">
        <f>IF(Calculation!E93=Calculation!$A$141,Calculation!C93,"")</f>
        <v/>
      </c>
      <c r="E94" s="52" t="str">
        <f>IF(Calculation!E93=Calculation!$A$141,Calculation!F93,"")</f>
        <v/>
      </c>
      <c r="F94" s="54" t="str">
        <f>IF(Calculation!E93=Calculation!$A$141,Calculation!G93,"")</f>
        <v/>
      </c>
      <c r="G94" s="54" t="str">
        <f>IF(Calculation!E93=Calculation!$A$141,Calculation!H93,"")</f>
        <v/>
      </c>
      <c r="H94" s="55"/>
    </row>
    <row r="95">
      <c r="A95" s="52" t="str">
        <f>IF(Calculation!E94=Calculation!$A$141,Calculation!B94,"")</f>
        <v/>
      </c>
      <c r="B95" s="53" t="str">
        <f>IF(Calculation!E94=Calculation!$A$141,Calculation!I94,"")</f>
        <v/>
      </c>
      <c r="C95" s="52" t="str">
        <f>IF(Calculation!E94=Calculation!$A$141,Calculation!D94,"")</f>
        <v/>
      </c>
      <c r="D95" s="52" t="str">
        <f>IF(Calculation!E94=Calculation!$A$141,Calculation!C94,"")</f>
        <v/>
      </c>
      <c r="E95" s="52" t="str">
        <f>IF(Calculation!E94=Calculation!$A$141,Calculation!F94,"")</f>
        <v/>
      </c>
      <c r="F95" s="54" t="str">
        <f>IF(Calculation!E94=Calculation!$A$141,Calculation!G94,"")</f>
        <v/>
      </c>
      <c r="G95" s="54" t="str">
        <f>IF(Calculation!E94=Calculation!$A$141,Calculation!H94,"")</f>
        <v/>
      </c>
      <c r="H95" s="55"/>
    </row>
    <row r="96">
      <c r="A96" s="52" t="str">
        <f>IF(Calculation!E95=Calculation!$A$141,Calculation!B95,"")</f>
        <v/>
      </c>
      <c r="B96" s="53" t="str">
        <f>IF(Calculation!E95=Calculation!$A$141,Calculation!I95,"")</f>
        <v/>
      </c>
      <c r="C96" s="52" t="str">
        <f>IF(Calculation!E95=Calculation!$A$141,Calculation!D95,"")</f>
        <v/>
      </c>
      <c r="D96" s="52" t="str">
        <f>IF(Calculation!E95=Calculation!$A$141,Calculation!C95,"")</f>
        <v/>
      </c>
      <c r="E96" s="52" t="str">
        <f>IF(Calculation!E95=Calculation!$A$141,Calculation!F95,"")</f>
        <v/>
      </c>
      <c r="F96" s="54" t="str">
        <f>IF(Calculation!E95=Calculation!$A$141,Calculation!G95,"")</f>
        <v/>
      </c>
      <c r="G96" s="54" t="str">
        <f>IF(Calculation!E95=Calculation!$A$141,Calculation!H95,"")</f>
        <v/>
      </c>
      <c r="H96" s="55"/>
    </row>
    <row r="97">
      <c r="A97" s="52" t="str">
        <f>IF(Calculation!E96=Calculation!$A$141,Calculation!B96,"")</f>
        <v/>
      </c>
      <c r="B97" s="53" t="str">
        <f>IF(Calculation!E96=Calculation!$A$141,Calculation!I96,"")</f>
        <v/>
      </c>
      <c r="C97" s="52" t="str">
        <f>IF(Calculation!E96=Calculation!$A$141,Calculation!D96,"")</f>
        <v/>
      </c>
      <c r="D97" s="52" t="str">
        <f>IF(Calculation!E96=Calculation!$A$141,Calculation!C96,"")</f>
        <v/>
      </c>
      <c r="E97" s="52" t="str">
        <f>IF(Calculation!E96=Calculation!$A$141,Calculation!F96,"")</f>
        <v/>
      </c>
      <c r="F97" s="54" t="str">
        <f>IF(Calculation!E96=Calculation!$A$141,Calculation!G96,"")</f>
        <v/>
      </c>
      <c r="G97" s="54" t="str">
        <f>IF(Calculation!E96=Calculation!$A$141,Calculation!H96,"")</f>
        <v/>
      </c>
      <c r="H97" s="55"/>
    </row>
    <row r="98">
      <c r="A98" s="52" t="str">
        <f>IF(Calculation!E97=Calculation!$A$141,Calculation!B97,"")</f>
        <v/>
      </c>
      <c r="B98" s="53" t="str">
        <f>IF(Calculation!E97=Calculation!$A$141,Calculation!I97,"")</f>
        <v/>
      </c>
      <c r="C98" s="52" t="str">
        <f>IF(Calculation!E97=Calculation!$A$141,Calculation!D97,"")</f>
        <v/>
      </c>
      <c r="D98" s="52" t="str">
        <f>IF(Calculation!E97=Calculation!$A$141,Calculation!C97,"")</f>
        <v/>
      </c>
      <c r="E98" s="52" t="str">
        <f>IF(Calculation!E97=Calculation!$A$141,Calculation!F97,"")</f>
        <v/>
      </c>
      <c r="F98" s="54" t="str">
        <f>IF(Calculation!E97=Calculation!$A$141,Calculation!G97,"")</f>
        <v/>
      </c>
      <c r="G98" s="54" t="str">
        <f>IF(Calculation!E97=Calculation!$A$141,Calculation!H97,"")</f>
        <v/>
      </c>
      <c r="H98" s="55"/>
    </row>
    <row r="99">
      <c r="A99" s="52" t="str">
        <f>IF(Calculation!E98=Calculation!$A$141,Calculation!B98,"")</f>
        <v/>
      </c>
      <c r="B99" s="53" t="str">
        <f>IF(Calculation!E98=Calculation!$A$141,Calculation!I98,"")</f>
        <v/>
      </c>
      <c r="C99" s="52" t="str">
        <f>IF(Calculation!E98=Calculation!$A$141,Calculation!D98,"")</f>
        <v/>
      </c>
      <c r="D99" s="52" t="str">
        <f>IF(Calculation!E98=Calculation!$A$141,Calculation!C98,"")</f>
        <v/>
      </c>
      <c r="E99" s="52" t="str">
        <f>IF(Calculation!E98=Calculation!$A$141,Calculation!F98,"")</f>
        <v/>
      </c>
      <c r="F99" s="54" t="str">
        <f>IF(Calculation!E98=Calculation!$A$141,Calculation!G98,"")</f>
        <v/>
      </c>
      <c r="G99" s="54" t="str">
        <f>IF(Calculation!E98=Calculation!$A$141,Calculation!H98,"")</f>
        <v/>
      </c>
      <c r="H99" s="55"/>
    </row>
    <row r="100">
      <c r="A100" s="52" t="str">
        <f>IF(Calculation!E99=Calculation!$A$141,Calculation!B99,"")</f>
        <v/>
      </c>
      <c r="B100" s="53" t="str">
        <f>IF(Calculation!E99=Calculation!$A$141,Calculation!I99,"")</f>
        <v/>
      </c>
      <c r="C100" s="52" t="str">
        <f>IF(Calculation!E99=Calculation!$A$141,Calculation!D99,"")</f>
        <v/>
      </c>
      <c r="D100" s="52" t="str">
        <f>IF(Calculation!E99=Calculation!$A$141,Calculation!C99,"")</f>
        <v/>
      </c>
      <c r="E100" s="52" t="str">
        <f>IF(Calculation!E99=Calculation!$A$141,Calculation!F99,"")</f>
        <v/>
      </c>
      <c r="F100" s="54" t="str">
        <f>IF(Calculation!E99=Calculation!$A$141,Calculation!G99,"")</f>
        <v/>
      </c>
      <c r="G100" s="54" t="str">
        <f>IF(Calculation!E99=Calculation!$A$141,Calculation!H99,"")</f>
        <v/>
      </c>
      <c r="H100" s="55"/>
    </row>
    <row r="101">
      <c r="A101" s="52" t="str">
        <f>IF(Calculation!E100=Calculation!$A$141,Calculation!B100,"")</f>
        <v/>
      </c>
      <c r="B101" s="53" t="str">
        <f>IF(Calculation!E100=Calculation!$A$141,Calculation!I100,"")</f>
        <v/>
      </c>
      <c r="C101" s="52" t="str">
        <f>IF(Calculation!E100=Calculation!$A$141,Calculation!D100,"")</f>
        <v/>
      </c>
      <c r="D101" s="52" t="str">
        <f>IF(Calculation!E100=Calculation!$A$141,Calculation!C100,"")</f>
        <v/>
      </c>
      <c r="E101" s="52" t="str">
        <f>IF(Calculation!E100=Calculation!$A$141,Calculation!F100,"")</f>
        <v/>
      </c>
      <c r="F101" s="54" t="str">
        <f>IF(Calculation!E100=Calculation!$A$141,Calculation!G100,"")</f>
        <v/>
      </c>
      <c r="G101" s="54" t="str">
        <f>IF(Calculation!E100=Calculation!$A$141,Calculation!H100,"")</f>
        <v/>
      </c>
      <c r="H101" s="55"/>
    </row>
    <row r="102">
      <c r="A102" s="52" t="str">
        <f>IF(Calculation!E101=Calculation!$A$141,Calculation!B101,"")</f>
        <v/>
      </c>
      <c r="B102" s="53" t="str">
        <f>IF(Calculation!E101=Calculation!$A$141,Calculation!I101,"")</f>
        <v/>
      </c>
      <c r="C102" s="52" t="str">
        <f>IF(Calculation!E101=Calculation!$A$141,Calculation!D101,"")</f>
        <v/>
      </c>
      <c r="D102" s="52" t="str">
        <f>IF(Calculation!E101=Calculation!$A$141,Calculation!C101,"")</f>
        <v/>
      </c>
      <c r="E102" s="52" t="str">
        <f>IF(Calculation!E101=Calculation!$A$141,Calculation!F101,"")</f>
        <v/>
      </c>
      <c r="F102" s="54" t="str">
        <f>IF(Calculation!E101=Calculation!$A$141,Calculation!G101,"")</f>
        <v/>
      </c>
      <c r="G102" s="54" t="str">
        <f>IF(Calculation!E101=Calculation!$A$141,Calculation!H101,"")</f>
        <v/>
      </c>
      <c r="H102" s="55"/>
    </row>
    <row r="103">
      <c r="A103" s="52" t="str">
        <f>IF(Calculation!E102=Calculation!$A$141,Calculation!B102,"")</f>
        <v/>
      </c>
      <c r="B103" s="53" t="str">
        <f>IF(Calculation!E102=Calculation!$A$141,Calculation!I102,"")</f>
        <v/>
      </c>
      <c r="C103" s="52" t="str">
        <f>IF(Calculation!E102=Calculation!$A$141,Calculation!D102,"")</f>
        <v/>
      </c>
      <c r="D103" s="52" t="str">
        <f>IF(Calculation!E102=Calculation!$A$141,Calculation!C102,"")</f>
        <v/>
      </c>
      <c r="E103" s="52" t="str">
        <f>IF(Calculation!E102=Calculation!$A$141,Calculation!F102,"")</f>
        <v/>
      </c>
      <c r="F103" s="54" t="str">
        <f>IF(Calculation!E102=Calculation!$A$141,Calculation!G102,"")</f>
        <v/>
      </c>
      <c r="G103" s="54" t="str">
        <f>IF(Calculation!E102=Calculation!$A$141,Calculation!H102,"")</f>
        <v/>
      </c>
      <c r="H103" s="55"/>
    </row>
    <row r="104">
      <c r="A104" s="52" t="str">
        <f>IF(Calculation!E103=Calculation!$A$141,Calculation!B103,"")</f>
        <v/>
      </c>
      <c r="B104" s="53" t="str">
        <f>IF(Calculation!E103=Calculation!$A$141,Calculation!I103,"")</f>
        <v/>
      </c>
      <c r="C104" s="52" t="str">
        <f>IF(Calculation!E103=Calculation!$A$141,Calculation!D103,"")</f>
        <v/>
      </c>
      <c r="D104" s="52" t="str">
        <f>IF(Calculation!E103=Calculation!$A$141,Calculation!C103,"")</f>
        <v/>
      </c>
      <c r="E104" s="52" t="str">
        <f>IF(Calculation!E103=Calculation!$A$141,Calculation!F103,"")</f>
        <v/>
      </c>
      <c r="F104" s="54" t="str">
        <f>IF(Calculation!E103=Calculation!$A$141,Calculation!G103,"")</f>
        <v/>
      </c>
      <c r="G104" s="54" t="str">
        <f>IF(Calculation!E103=Calculation!$A$141,Calculation!H103,"")</f>
        <v/>
      </c>
      <c r="H104" s="55"/>
    </row>
    <row r="105">
      <c r="A105" s="52" t="str">
        <f>IF(Calculation!E104=Calculation!$A$141,Calculation!B104,"")</f>
        <v/>
      </c>
      <c r="B105" s="53" t="str">
        <f>IF(Calculation!E104=Calculation!$A$141,Calculation!I104,"")</f>
        <v/>
      </c>
      <c r="C105" s="52" t="str">
        <f>IF(Calculation!E104=Calculation!$A$141,Calculation!D104,"")</f>
        <v/>
      </c>
      <c r="D105" s="52" t="str">
        <f>IF(Calculation!E104=Calculation!$A$141,Calculation!C104,"")</f>
        <v/>
      </c>
      <c r="E105" s="52" t="str">
        <f>IF(Calculation!E104=Calculation!$A$141,Calculation!F104,"")</f>
        <v/>
      </c>
      <c r="F105" s="54" t="str">
        <f>IF(Calculation!E104=Calculation!$A$141,Calculation!G104,"")</f>
        <v/>
      </c>
      <c r="G105" s="54" t="str">
        <f>IF(Calculation!E104=Calculation!$A$141,Calculation!H104,"")</f>
        <v/>
      </c>
      <c r="H105" s="55"/>
    </row>
    <row r="106">
      <c r="A106" s="52" t="str">
        <f>IF(Calculation!E105=Calculation!$A$141,Calculation!B105,"")</f>
        <v/>
      </c>
      <c r="B106" s="53" t="str">
        <f>IF(Calculation!E105=Calculation!$A$141,Calculation!I105,"")</f>
        <v/>
      </c>
      <c r="C106" s="52" t="str">
        <f>IF(Calculation!E105=Calculation!$A$141,Calculation!D105,"")</f>
        <v/>
      </c>
      <c r="D106" s="52" t="str">
        <f>IF(Calculation!E105=Calculation!$A$141,Calculation!C105,"")</f>
        <v/>
      </c>
      <c r="E106" s="52" t="str">
        <f>IF(Calculation!E105=Calculation!$A$141,Calculation!F105,"")</f>
        <v/>
      </c>
      <c r="F106" s="54" t="str">
        <f>IF(Calculation!E105=Calculation!$A$141,Calculation!G105,"")</f>
        <v/>
      </c>
      <c r="G106" s="54" t="str">
        <f>IF(Calculation!E105=Calculation!$A$141,Calculation!H105,"")</f>
        <v/>
      </c>
      <c r="H106" s="55"/>
    </row>
    <row r="107">
      <c r="A107" s="52" t="str">
        <f>IF(Calculation!E106=Calculation!$A$141,Calculation!B106,"")</f>
        <v/>
      </c>
      <c r="B107" s="53" t="str">
        <f>IF(Calculation!E106=Calculation!$A$141,Calculation!I106,"")</f>
        <v/>
      </c>
      <c r="C107" s="52" t="str">
        <f>IF(Calculation!E106=Calculation!$A$141,Calculation!D106,"")</f>
        <v/>
      </c>
      <c r="D107" s="52" t="str">
        <f>IF(Calculation!E106=Calculation!$A$141,Calculation!C106,"")</f>
        <v/>
      </c>
      <c r="E107" s="52" t="str">
        <f>IF(Calculation!E106=Calculation!$A$141,Calculation!F106,"")</f>
        <v/>
      </c>
      <c r="F107" s="54" t="str">
        <f>IF(Calculation!E106=Calculation!$A$141,Calculation!G106,"")</f>
        <v/>
      </c>
      <c r="G107" s="54" t="str">
        <f>IF(Calculation!E106=Calculation!$A$141,Calculation!H106,"")</f>
        <v/>
      </c>
      <c r="H107" s="55"/>
    </row>
    <row r="108">
      <c r="A108" s="52" t="str">
        <f>IF(Calculation!E107=Calculation!$A$141,Calculation!B107,"")</f>
        <v/>
      </c>
      <c r="B108" s="53" t="str">
        <f>IF(Calculation!E107=Calculation!$A$141,Calculation!I107,"")</f>
        <v/>
      </c>
      <c r="C108" s="52" t="str">
        <f>IF(Calculation!E107=Calculation!$A$141,Calculation!D107,"")</f>
        <v/>
      </c>
      <c r="D108" s="52" t="str">
        <f>IF(Calculation!E107=Calculation!$A$141,Calculation!C107,"")</f>
        <v/>
      </c>
      <c r="E108" s="52" t="str">
        <f>IF(Calculation!E107=Calculation!$A$141,Calculation!F107,"")</f>
        <v/>
      </c>
      <c r="F108" s="54" t="str">
        <f>IF(Calculation!E107=Calculation!$A$141,Calculation!G107,"")</f>
        <v/>
      </c>
      <c r="G108" s="54" t="str">
        <f>IF(Calculation!E107=Calculation!$A$141,Calculation!H107,"")</f>
        <v/>
      </c>
      <c r="H108" s="55"/>
    </row>
    <row r="109">
      <c r="A109" s="52" t="str">
        <f>IF(Calculation!E108=Calculation!$A$141,Calculation!B108,"")</f>
        <v/>
      </c>
      <c r="B109" s="53" t="str">
        <f>IF(Calculation!E108=Calculation!$A$141,Calculation!I108,"")</f>
        <v/>
      </c>
      <c r="C109" s="52" t="str">
        <f>IF(Calculation!E108=Calculation!$A$141,Calculation!D108,"")</f>
        <v/>
      </c>
      <c r="D109" s="52" t="str">
        <f>IF(Calculation!E108=Calculation!$A$141,Calculation!C108,"")</f>
        <v/>
      </c>
      <c r="E109" s="52" t="str">
        <f>IF(Calculation!E108=Calculation!$A$141,Calculation!F108,"")</f>
        <v/>
      </c>
      <c r="F109" s="54" t="str">
        <f>IF(Calculation!E108=Calculation!$A$141,Calculation!G108,"")</f>
        <v/>
      </c>
      <c r="G109" s="54" t="str">
        <f>IF(Calculation!E108=Calculation!$A$141,Calculation!H108,"")</f>
        <v/>
      </c>
      <c r="H109" s="55"/>
    </row>
    <row r="110">
      <c r="A110" s="52" t="str">
        <f>IF(Calculation!E109=Calculation!$A$141,Calculation!B109,"")</f>
        <v/>
      </c>
      <c r="B110" s="53" t="str">
        <f>IF(Calculation!E109=Calculation!$A$141,Calculation!I109,"")</f>
        <v/>
      </c>
      <c r="C110" s="52" t="str">
        <f>IF(Calculation!E109=Calculation!$A$141,Calculation!D109,"")</f>
        <v/>
      </c>
      <c r="D110" s="52" t="str">
        <f>IF(Calculation!E109=Calculation!$A$141,Calculation!C109,"")</f>
        <v/>
      </c>
      <c r="E110" s="52" t="str">
        <f>IF(Calculation!E109=Calculation!$A$141,Calculation!F109,"")</f>
        <v/>
      </c>
      <c r="F110" s="54" t="str">
        <f>IF(Calculation!E109=Calculation!$A$141,Calculation!G109,"")</f>
        <v/>
      </c>
      <c r="G110" s="54" t="str">
        <f>IF(Calculation!E109=Calculation!$A$141,Calculation!H109,"")</f>
        <v/>
      </c>
      <c r="H110" s="55"/>
    </row>
    <row r="111">
      <c r="A111" s="52" t="str">
        <f>IF(Calculation!E110=Calculation!$A$141,Calculation!B110,"")</f>
        <v/>
      </c>
      <c r="B111" s="53" t="str">
        <f>IF(Calculation!E110=Calculation!$A$141,Calculation!I110,"")</f>
        <v/>
      </c>
      <c r="C111" s="52" t="str">
        <f>IF(Calculation!E110=Calculation!$A$141,Calculation!D110,"")</f>
        <v/>
      </c>
      <c r="D111" s="52" t="str">
        <f>IF(Calculation!E110=Calculation!$A$141,Calculation!C110,"")</f>
        <v/>
      </c>
      <c r="E111" s="52" t="str">
        <f>IF(Calculation!E110=Calculation!$A$141,Calculation!F110,"")</f>
        <v/>
      </c>
      <c r="F111" s="54" t="str">
        <f>IF(Calculation!E110=Calculation!$A$141,Calculation!G110,"")</f>
        <v/>
      </c>
      <c r="G111" s="54" t="str">
        <f>IF(Calculation!E110=Calculation!$A$141,Calculation!H110,"")</f>
        <v/>
      </c>
      <c r="H111" s="55"/>
    </row>
    <row r="112">
      <c r="A112" s="52" t="str">
        <f>IF(Calculation!E111=Calculation!$A$141,Calculation!B111,"")</f>
        <v/>
      </c>
      <c r="B112" s="53" t="str">
        <f>IF(Calculation!E111=Calculation!$A$141,Calculation!I111,"")</f>
        <v/>
      </c>
      <c r="C112" s="52" t="str">
        <f>IF(Calculation!E111=Calculation!$A$141,Calculation!D111,"")</f>
        <v/>
      </c>
      <c r="D112" s="52" t="str">
        <f>IF(Calculation!E111=Calculation!$A$141,Calculation!C111,"")</f>
        <v/>
      </c>
      <c r="E112" s="52" t="str">
        <f>IF(Calculation!E111=Calculation!$A$141,Calculation!F111,"")</f>
        <v/>
      </c>
      <c r="F112" s="54" t="str">
        <f>IF(Calculation!E111=Calculation!$A$141,Calculation!G111,"")</f>
        <v/>
      </c>
      <c r="G112" s="54" t="str">
        <f>IF(Calculation!E111=Calculation!$A$141,Calculation!H111,"")</f>
        <v/>
      </c>
      <c r="H112" s="55"/>
    </row>
    <row r="113">
      <c r="A113" s="52" t="str">
        <f>IF(Calculation!E112=Calculation!$A$141,Calculation!B112,"")</f>
        <v/>
      </c>
      <c r="B113" s="53" t="str">
        <f>IF(Calculation!E112=Calculation!$A$141,Calculation!I112,"")</f>
        <v/>
      </c>
      <c r="C113" s="52" t="str">
        <f>IF(Calculation!E112=Calculation!$A$141,Calculation!D112,"")</f>
        <v/>
      </c>
      <c r="D113" s="52" t="str">
        <f>IF(Calculation!E112=Calculation!$A$141,Calculation!C112,"")</f>
        <v/>
      </c>
      <c r="E113" s="52" t="str">
        <f>IF(Calculation!E112=Calculation!$A$141,Calculation!F112,"")</f>
        <v/>
      </c>
      <c r="F113" s="54" t="str">
        <f>IF(Calculation!E112=Calculation!$A$141,Calculation!G112,"")</f>
        <v/>
      </c>
      <c r="G113" s="54" t="str">
        <f>IF(Calculation!E112=Calculation!$A$141,Calculation!H112,"")</f>
        <v/>
      </c>
      <c r="H113" s="55"/>
    </row>
    <row r="114">
      <c r="A114" s="52" t="str">
        <f>IF(Calculation!E113=Calculation!$A$141,Calculation!B113,"")</f>
        <v/>
      </c>
      <c r="B114" s="53" t="str">
        <f>IF(Calculation!E113=Calculation!$A$141,Calculation!I113,"")</f>
        <v/>
      </c>
      <c r="C114" s="52" t="str">
        <f>IF(Calculation!E113=Calculation!$A$141,Calculation!D113,"")</f>
        <v/>
      </c>
      <c r="D114" s="52" t="str">
        <f>IF(Calculation!E113=Calculation!$A$141,Calculation!C113,"")</f>
        <v/>
      </c>
      <c r="E114" s="52" t="str">
        <f>IF(Calculation!E113=Calculation!$A$141,Calculation!F113,"")</f>
        <v/>
      </c>
      <c r="F114" s="54" t="str">
        <f>IF(Calculation!E113=Calculation!$A$141,Calculation!G113,"")</f>
        <v/>
      </c>
      <c r="G114" s="54" t="str">
        <f>IF(Calculation!E113=Calculation!$A$141,Calculation!H113,"")</f>
        <v/>
      </c>
      <c r="H114" s="55"/>
    </row>
    <row r="115">
      <c r="A115" s="52" t="str">
        <f>IF(Calculation!E114=Calculation!$A$141,Calculation!B114,"")</f>
        <v/>
      </c>
      <c r="B115" s="53" t="str">
        <f>IF(Calculation!E114=Calculation!$A$141,Calculation!I114,"")</f>
        <v/>
      </c>
      <c r="C115" s="52" t="str">
        <f>IF(Calculation!E114=Calculation!$A$141,Calculation!D114,"")</f>
        <v/>
      </c>
      <c r="D115" s="52" t="str">
        <f>IF(Calculation!E114=Calculation!$A$141,Calculation!C114,"")</f>
        <v/>
      </c>
      <c r="E115" s="52" t="str">
        <f>IF(Calculation!E114=Calculation!$A$141,Calculation!F114,"")</f>
        <v/>
      </c>
      <c r="F115" s="54" t="str">
        <f>IF(Calculation!E114=Calculation!$A$141,Calculation!G114,"")</f>
        <v/>
      </c>
      <c r="G115" s="54" t="str">
        <f>IF(Calculation!E114=Calculation!$A$141,Calculation!H114,"")</f>
        <v/>
      </c>
      <c r="H115" s="55"/>
    </row>
    <row r="116">
      <c r="A116" s="52" t="str">
        <f>IF(Calculation!E115=Calculation!$A$141,Calculation!B115,"")</f>
        <v/>
      </c>
      <c r="B116" s="53" t="str">
        <f>IF(Calculation!E115=Calculation!$A$141,Calculation!I115,"")</f>
        <v/>
      </c>
      <c r="C116" s="52" t="str">
        <f>IF(Calculation!E115=Calculation!$A$141,Calculation!D115,"")</f>
        <v/>
      </c>
      <c r="D116" s="52" t="str">
        <f>IF(Calculation!E115=Calculation!$A$141,Calculation!C115,"")</f>
        <v/>
      </c>
      <c r="E116" s="52" t="str">
        <f>IF(Calculation!E115=Calculation!$A$141,Calculation!F115,"")</f>
        <v/>
      </c>
      <c r="F116" s="54" t="str">
        <f>IF(Calculation!E115=Calculation!$A$141,Calculation!G115,"")</f>
        <v/>
      </c>
      <c r="G116" s="54" t="str">
        <f>IF(Calculation!E115=Calculation!$A$141,Calculation!H115,"")</f>
        <v/>
      </c>
      <c r="H116" s="55"/>
    </row>
    <row r="117">
      <c r="A117" s="52" t="str">
        <f>IF(Calculation!E116=Calculation!$A$141,Calculation!B116,"")</f>
        <v/>
      </c>
      <c r="B117" s="53" t="str">
        <f>IF(Calculation!E116=Calculation!$A$141,Calculation!I116,"")</f>
        <v/>
      </c>
      <c r="C117" s="52" t="str">
        <f>IF(Calculation!E116=Calculation!$A$141,Calculation!D116,"")</f>
        <v/>
      </c>
      <c r="D117" s="52" t="str">
        <f>IF(Calculation!E116=Calculation!$A$141,Calculation!C116,"")</f>
        <v/>
      </c>
      <c r="E117" s="52" t="str">
        <f>IF(Calculation!E116=Calculation!$A$141,Calculation!F116,"")</f>
        <v/>
      </c>
      <c r="F117" s="54" t="str">
        <f>IF(Calculation!E116=Calculation!$A$141,Calculation!G116,"")</f>
        <v/>
      </c>
      <c r="G117" s="54" t="str">
        <f>IF(Calculation!E116=Calculation!$A$141,Calculation!H116,"")</f>
        <v/>
      </c>
      <c r="H117" s="55"/>
    </row>
    <row r="118">
      <c r="A118" s="52" t="str">
        <f>IF(Calculation!E117=Calculation!$A$141,Calculation!B117,"")</f>
        <v/>
      </c>
      <c r="B118" s="53" t="str">
        <f>IF(Calculation!E117=Calculation!$A$141,Calculation!I117,"")</f>
        <v/>
      </c>
      <c r="C118" s="52" t="str">
        <f>IF(Calculation!E117=Calculation!$A$141,Calculation!D117,"")</f>
        <v/>
      </c>
      <c r="D118" s="52" t="str">
        <f>IF(Calculation!E117=Calculation!$A$141,Calculation!C117,"")</f>
        <v/>
      </c>
      <c r="E118" s="52" t="str">
        <f>IF(Calculation!E117=Calculation!$A$141,Calculation!F117,"")</f>
        <v/>
      </c>
      <c r="F118" s="54" t="str">
        <f>IF(Calculation!E117=Calculation!$A$141,Calculation!G117,"")</f>
        <v/>
      </c>
      <c r="G118" s="54" t="str">
        <f>IF(Calculation!E117=Calculation!$A$141,Calculation!H117,"")</f>
        <v/>
      </c>
      <c r="H118" s="55"/>
    </row>
    <row r="119">
      <c r="A119" s="52" t="str">
        <f>IF(Calculation!E118=Calculation!$A$141,Calculation!B118,"")</f>
        <v/>
      </c>
      <c r="B119" s="53" t="str">
        <f>IF(Calculation!E118=Calculation!$A$141,Calculation!I118,"")</f>
        <v/>
      </c>
      <c r="C119" s="52" t="str">
        <f>IF(Calculation!E118=Calculation!$A$141,Calculation!D118,"")</f>
        <v/>
      </c>
      <c r="D119" s="52" t="str">
        <f>IF(Calculation!E118=Calculation!$A$141,Calculation!C118,"")</f>
        <v/>
      </c>
      <c r="E119" s="52" t="str">
        <f>IF(Calculation!E118=Calculation!$A$141,Calculation!F118,"")</f>
        <v/>
      </c>
      <c r="F119" s="54" t="str">
        <f>IF(Calculation!E118=Calculation!$A$141,Calculation!G118,"")</f>
        <v/>
      </c>
      <c r="G119" s="54" t="str">
        <f>IF(Calculation!E118=Calculation!$A$141,Calculation!H118,"")</f>
        <v/>
      </c>
      <c r="H119" s="55"/>
    </row>
    <row r="120">
      <c r="A120" s="52" t="str">
        <f>IF(Calculation!E119=Calculation!$A$141,Calculation!B119,"")</f>
        <v/>
      </c>
      <c r="B120" s="53" t="str">
        <f>IF(Calculation!E119=Calculation!$A$141,Calculation!I119,"")</f>
        <v/>
      </c>
      <c r="C120" s="52" t="str">
        <f>IF(Calculation!E119=Calculation!$A$141,Calculation!D119,"")</f>
        <v/>
      </c>
      <c r="D120" s="52" t="str">
        <f>IF(Calculation!E119=Calculation!$A$141,Calculation!C119,"")</f>
        <v/>
      </c>
      <c r="E120" s="52" t="str">
        <f>IF(Calculation!E119=Calculation!$A$141,Calculation!F119,"")</f>
        <v/>
      </c>
      <c r="F120" s="54" t="str">
        <f>IF(Calculation!E119=Calculation!$A$141,Calculation!G119,"")</f>
        <v/>
      </c>
      <c r="G120" s="54" t="str">
        <f>IF(Calculation!E119=Calculation!$A$141,Calculation!H119,"")</f>
        <v/>
      </c>
      <c r="H120" s="55"/>
    </row>
    <row r="121">
      <c r="A121" s="52" t="str">
        <f>IF(Calculation!E120=Calculation!$A$141,Calculation!B120,"")</f>
        <v/>
      </c>
      <c r="B121" s="53" t="str">
        <f>IF(Calculation!E120=Calculation!$A$141,Calculation!I120,"")</f>
        <v/>
      </c>
      <c r="C121" s="52" t="str">
        <f>IF(Calculation!E120=Calculation!$A$141,Calculation!D120,"")</f>
        <v/>
      </c>
      <c r="D121" s="52" t="str">
        <f>IF(Calculation!E120=Calculation!$A$141,Calculation!C120,"")</f>
        <v/>
      </c>
      <c r="E121" s="52" t="str">
        <f>IF(Calculation!E120=Calculation!$A$141,Calculation!F120,"")</f>
        <v/>
      </c>
      <c r="F121" s="54" t="str">
        <f>IF(Calculation!E120=Calculation!$A$141,Calculation!G120,"")</f>
        <v/>
      </c>
      <c r="G121" s="54" t="str">
        <f>IF(Calculation!E120=Calculation!$A$141,Calculation!H120,"")</f>
        <v/>
      </c>
      <c r="H121" s="55"/>
    </row>
    <row r="122">
      <c r="A122" s="52" t="str">
        <f>IF(Calculation!E121=Calculation!$A$141,Calculation!B121,"")</f>
        <v/>
      </c>
      <c r="B122" s="53" t="str">
        <f>IF(Calculation!E121=Calculation!$A$141,Calculation!I121,"")</f>
        <v/>
      </c>
      <c r="C122" s="52" t="str">
        <f>IF(Calculation!E121=Calculation!$A$141,Calculation!D121,"")</f>
        <v/>
      </c>
      <c r="D122" s="52" t="str">
        <f>IF(Calculation!E121=Calculation!$A$141,Calculation!C121,"")</f>
        <v/>
      </c>
      <c r="E122" s="52" t="str">
        <f>IF(Calculation!E121=Calculation!$A$141,Calculation!F121,"")</f>
        <v/>
      </c>
      <c r="F122" s="54" t="str">
        <f>IF(Calculation!E121=Calculation!$A$141,Calculation!G121,"")</f>
        <v/>
      </c>
      <c r="G122" s="54" t="str">
        <f>IF(Calculation!E121=Calculation!$A$141,Calculation!H121,"")</f>
        <v/>
      </c>
      <c r="H122" s="55"/>
    </row>
    <row r="123">
      <c r="A123" s="52" t="str">
        <f>IF(Calculation!E122=Calculation!$A$141,Calculation!B122,"")</f>
        <v/>
      </c>
      <c r="B123" s="53" t="str">
        <f>IF(Calculation!E122=Calculation!$A$141,Calculation!I122,"")</f>
        <v/>
      </c>
      <c r="C123" s="52" t="str">
        <f>IF(Calculation!E122=Calculation!$A$141,Calculation!D122,"")</f>
        <v/>
      </c>
      <c r="D123" s="52" t="str">
        <f>IF(Calculation!E122=Calculation!$A$141,Calculation!C122,"")</f>
        <v/>
      </c>
      <c r="E123" s="52" t="str">
        <f>IF(Calculation!E122=Calculation!$A$141,Calculation!F122,"")</f>
        <v/>
      </c>
      <c r="F123" s="54" t="str">
        <f>IF(Calculation!E122=Calculation!$A$141,Calculation!G122,"")</f>
        <v/>
      </c>
      <c r="G123" s="54" t="str">
        <f>IF(Calculation!E122=Calculation!$A$141,Calculation!H122,"")</f>
        <v/>
      </c>
      <c r="H123" s="55"/>
    </row>
    <row r="124">
      <c r="A124" s="52" t="str">
        <f>IF(Calculation!E123=Calculation!$A$141,Calculation!B123,"")</f>
        <v/>
      </c>
      <c r="B124" s="53" t="str">
        <f>IF(Calculation!E123=Calculation!$A$141,Calculation!I123,"")</f>
        <v/>
      </c>
      <c r="C124" s="52" t="str">
        <f>IF(Calculation!E123=Calculation!$A$141,Calculation!D123,"")</f>
        <v/>
      </c>
      <c r="D124" s="52" t="str">
        <f>IF(Calculation!E123=Calculation!$A$141,Calculation!C123,"")</f>
        <v/>
      </c>
      <c r="E124" s="52" t="str">
        <f>IF(Calculation!E123=Calculation!$A$141,Calculation!F123,"")</f>
        <v/>
      </c>
      <c r="F124" s="54" t="str">
        <f>IF(Calculation!E123=Calculation!$A$141,Calculation!G123,"")</f>
        <v/>
      </c>
      <c r="G124" s="54" t="str">
        <f>IF(Calculation!E123=Calculation!$A$141,Calculation!H123,"")</f>
        <v/>
      </c>
      <c r="H124" s="55"/>
    </row>
    <row r="125">
      <c r="A125" s="52" t="str">
        <f>IF(Calculation!E124=Calculation!$A$141,Calculation!B124,"")</f>
        <v/>
      </c>
      <c r="B125" s="53" t="str">
        <f>IF(Calculation!E124=Calculation!$A$141,Calculation!I124,"")</f>
        <v/>
      </c>
      <c r="C125" s="52" t="str">
        <f>IF(Calculation!E124=Calculation!$A$141,Calculation!D124,"")</f>
        <v/>
      </c>
      <c r="D125" s="52" t="str">
        <f>IF(Calculation!E124=Calculation!$A$141,Calculation!C124,"")</f>
        <v/>
      </c>
      <c r="E125" s="52" t="str">
        <f>IF(Calculation!E124=Calculation!$A$141,Calculation!F124,"")</f>
        <v/>
      </c>
      <c r="F125" s="54" t="str">
        <f>IF(Calculation!E124=Calculation!$A$141,Calculation!G124,"")</f>
        <v/>
      </c>
      <c r="G125" s="54" t="str">
        <f>IF(Calculation!E124=Calculation!$A$141,Calculation!H124,"")</f>
        <v/>
      </c>
      <c r="H125" s="55"/>
    </row>
    <row r="126">
      <c r="A126" s="52" t="str">
        <f>IF(Calculation!E125=Calculation!$A$141,Calculation!B125,"")</f>
        <v/>
      </c>
      <c r="B126" s="53" t="str">
        <f>IF(Calculation!E125=Calculation!$A$141,Calculation!I125,"")</f>
        <v/>
      </c>
      <c r="C126" s="52" t="str">
        <f>IF(Calculation!E125=Calculation!$A$141,Calculation!D125,"")</f>
        <v/>
      </c>
      <c r="D126" s="52" t="str">
        <f>IF(Calculation!E125=Calculation!$A$141,Calculation!C125,"")</f>
        <v/>
      </c>
      <c r="E126" s="52" t="str">
        <f>IF(Calculation!E125=Calculation!$A$141,Calculation!F125,"")</f>
        <v/>
      </c>
      <c r="F126" s="54" t="str">
        <f>IF(Calculation!E125=Calculation!$A$141,Calculation!G125,"")</f>
        <v/>
      </c>
      <c r="G126" s="54" t="str">
        <f>IF(Calculation!E125=Calculation!$A$141,Calculation!H125,"")</f>
        <v/>
      </c>
      <c r="H126" s="55"/>
    </row>
  </sheetData>
  <mergeCells count="37">
    <mergeCell ref="A1:H1"/>
    <mergeCell ref="L3:O3"/>
    <mergeCell ref="L4:O4"/>
    <mergeCell ref="L5:O5"/>
    <mergeCell ref="L6:N6"/>
    <mergeCell ref="L8:P8"/>
    <mergeCell ref="O9:P9"/>
    <mergeCell ref="L9:N9"/>
    <mergeCell ref="L10:N10"/>
    <mergeCell ref="O10:P10"/>
    <mergeCell ref="Q10:R10"/>
    <mergeCell ref="L11:N11"/>
    <mergeCell ref="O11:P11"/>
    <mergeCell ref="Q11:R11"/>
    <mergeCell ref="O14:P14"/>
    <mergeCell ref="Q14:R14"/>
    <mergeCell ref="L12:N12"/>
    <mergeCell ref="O12:P12"/>
    <mergeCell ref="Q12:R12"/>
    <mergeCell ref="L13:N13"/>
    <mergeCell ref="O13:P13"/>
    <mergeCell ref="Q13:R13"/>
    <mergeCell ref="L14:N14"/>
    <mergeCell ref="L20:O20"/>
    <mergeCell ref="L21:O21"/>
    <mergeCell ref="L22:O22"/>
    <mergeCell ref="L23:O23"/>
    <mergeCell ref="N25:P25"/>
    <mergeCell ref="N26:P26"/>
    <mergeCell ref="Q27:R27"/>
    <mergeCell ref="L15:N15"/>
    <mergeCell ref="O15:P15"/>
    <mergeCell ref="Q15:R15"/>
    <mergeCell ref="L16:N16"/>
    <mergeCell ref="O16:P16"/>
    <mergeCell ref="Q16:R16"/>
    <mergeCell ref="L18:O18"/>
  </mergeCells>
  <dataValidations>
    <dataValidation type="custom" allowBlank="1" showDropDown="1" sqref="O9 Q15">
      <formula1>OR(NOT(ISERROR(DATEVALUE(O9))), AND(ISNUMBER(O9), LEFT(CELL("format", O9))="D"))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9.13"/>
    <col customWidth="1" min="3" max="3" width="18.63"/>
    <col customWidth="1" min="4" max="4" width="17.63"/>
    <col customWidth="1" min="5" max="5" width="18.75"/>
    <col customWidth="1" min="6" max="6" width="19.25"/>
    <col customWidth="1" min="7" max="8" width="17.38"/>
    <col customWidth="1" min="9" max="9" width="15.13"/>
  </cols>
  <sheetData>
    <row r="1" ht="42.0" customHeight="1">
      <c r="A1" s="49" t="s">
        <v>86</v>
      </c>
      <c r="I1" s="50"/>
    </row>
    <row r="2" ht="29.25" customHeight="1">
      <c r="A2" s="51" t="s">
        <v>45</v>
      </c>
      <c r="B2" s="51" t="s">
        <v>46</v>
      </c>
      <c r="C2" s="51" t="s">
        <v>47</v>
      </c>
      <c r="D2" s="51" t="s">
        <v>48</v>
      </c>
      <c r="E2" s="51" t="s">
        <v>49</v>
      </c>
      <c r="F2" s="51" t="s">
        <v>50</v>
      </c>
      <c r="G2" s="51" t="s">
        <v>51</v>
      </c>
      <c r="H2" s="51" t="s">
        <v>52</v>
      </c>
    </row>
    <row r="3" ht="18.75" customHeight="1">
      <c r="A3" s="52" t="str">
        <f>IF(Calculation!E3=Calculation!$A$138,Calculation!B3,"")</f>
        <v/>
      </c>
      <c r="B3" s="53" t="str">
        <f>IF(Calculation!E3=Calculation!$A$136,Calculation!I3,"")</f>
        <v/>
      </c>
      <c r="C3" s="52" t="str">
        <f>IF(Calculation!E3=Calculation!$A$138,Calculation!D3,"")</f>
        <v/>
      </c>
      <c r="D3" s="52" t="str">
        <f>IF(Calculation!E3=Calculation!$A$138,Calculation!C3,"")</f>
        <v/>
      </c>
      <c r="E3" s="52" t="str">
        <f>IF(Calculation!E3=Calculation!$A$138,Calculation!F3,"")</f>
        <v/>
      </c>
      <c r="F3" s="54" t="str">
        <f>IF(Calculation!E3=Calculation!$A$138,Calculation!G3,"")</f>
        <v/>
      </c>
      <c r="G3" s="54" t="str">
        <f>IF(Calculation!E3=Calculation!$A$138,Calculation!H3,"")</f>
        <v/>
      </c>
      <c r="H3" s="110">
        <f>SUMPRODUCT(((Calculation!E3:E125=Calculation!$A$138)+(Calculation!D3:D125=Calculation!$A$138)&gt;0)*(Calculation!K3:K125))</f>
        <v>1651</v>
      </c>
    </row>
    <row r="4" ht="20.25" customHeight="1">
      <c r="A4" s="52" t="str">
        <f>IF(Calculation!E4=Calculation!$A$138,Calculation!B4,"")</f>
        <v/>
      </c>
      <c r="B4" s="53" t="str">
        <f>IF(Calculation!E4=Calculation!$A$136,Calculation!I4,"")</f>
        <v/>
      </c>
      <c r="C4" s="52" t="str">
        <f>IF(Calculation!E4=Calculation!$A$138,Calculation!D4,"")</f>
        <v/>
      </c>
      <c r="D4" s="52" t="str">
        <f>IF(Calculation!E4=Calculation!$A$138,Calculation!C4,"")</f>
        <v/>
      </c>
      <c r="E4" s="52" t="str">
        <f>IF(Calculation!E4=Calculation!$A$138,Calculation!F4,"")</f>
        <v/>
      </c>
      <c r="F4" s="54" t="str">
        <f>IF(Calculation!E4=Calculation!$A$138,Calculation!G4,"")</f>
        <v/>
      </c>
      <c r="G4" s="54" t="str">
        <f>IF(Calculation!E4=Calculation!$A$138,Calculation!H4,"")</f>
        <v/>
      </c>
      <c r="H4" s="55"/>
    </row>
    <row r="5">
      <c r="A5" s="52" t="str">
        <f>IF(Calculation!E5=Calculation!$A$138,Calculation!B5,"")</f>
        <v/>
      </c>
      <c r="B5" s="53" t="str">
        <f>IF(Calculation!E5=Calculation!$A$136,Calculation!I5,"")</f>
        <v/>
      </c>
      <c r="C5" s="52" t="str">
        <f>IF(Calculation!E5=Calculation!$A$138,Calculation!D5,"")</f>
        <v/>
      </c>
      <c r="D5" s="52" t="str">
        <f>IF(Calculation!E5=Calculation!$A$138,Calculation!C5,"")</f>
        <v/>
      </c>
      <c r="E5" s="52" t="str">
        <f>IF(Calculation!E5=Calculation!$A$138,Calculation!F5,"")</f>
        <v/>
      </c>
      <c r="F5" s="54" t="str">
        <f>IF(Calculation!E5=Calculation!$A$138,Calculation!G5,"")</f>
        <v/>
      </c>
      <c r="G5" s="54" t="str">
        <f>IF(Calculation!E5=Calculation!$A$138,Calculation!H5,"")</f>
        <v/>
      </c>
      <c r="H5" s="55"/>
    </row>
    <row r="6">
      <c r="A6" s="57">
        <f>IF(Calculation!E6=Calculation!$A$138,Calculation!B6,"")</f>
        <v>45448</v>
      </c>
      <c r="B6" s="53" t="str">
        <f>IF(Calculation!E6=Calculation!$A$136,Calculation!I6,"")</f>
        <v/>
      </c>
      <c r="C6" s="52" t="str">
        <f>IF(Calculation!E6=Calculation!$A$138,Calculation!D6,"")</f>
        <v>Nebil Divay</v>
      </c>
      <c r="D6" s="52" t="str">
        <f>IF(Calculation!E6=Calculation!$A$138,Calculation!C6,"")</f>
        <v>Short video design</v>
      </c>
      <c r="E6" s="52">
        <f>IF(Calculation!E6=Calculation!$A$138,Calculation!F6,"")</f>
        <v>2</v>
      </c>
      <c r="F6" s="54">
        <f>IF(Calculation!E6=Calculation!$A$138,Calculation!G6,"")</f>
        <v>312.5</v>
      </c>
      <c r="G6" s="54">
        <f>IF(Calculation!E6=Calculation!$A$138,Calculation!H6,"")</f>
        <v>625</v>
      </c>
      <c r="H6" s="55"/>
    </row>
    <row r="7">
      <c r="A7" s="52" t="str">
        <f>IF(Calculation!E7=Calculation!$A$138,Calculation!B7,"")</f>
        <v/>
      </c>
      <c r="B7" s="53" t="str">
        <f>IF(Calculation!E7=Calculation!$A$136,Calculation!I7,"")</f>
        <v/>
      </c>
      <c r="C7" s="52" t="str">
        <f>IF(Calculation!E7=Calculation!$A$138,Calculation!D7,"")</f>
        <v/>
      </c>
      <c r="D7" s="52" t="str">
        <f>IF(Calculation!E7=Calculation!$A$138,Calculation!C7,"")</f>
        <v/>
      </c>
      <c r="E7" s="52" t="str">
        <f>IF(Calculation!E7=Calculation!$A$138,Calculation!F7,"")</f>
        <v/>
      </c>
      <c r="F7" s="54" t="str">
        <f>IF(Calculation!E7=Calculation!$A$138,Calculation!G7,"")</f>
        <v/>
      </c>
      <c r="G7" s="54" t="str">
        <f>IF(Calculation!E7=Calculation!$A$138,Calculation!H7,"")</f>
        <v/>
      </c>
      <c r="H7" s="55"/>
    </row>
    <row r="8">
      <c r="A8" s="52" t="str">
        <f>IF(Calculation!E8=Calculation!$A$138,Calculation!B8,"")</f>
        <v/>
      </c>
      <c r="B8" s="53" t="str">
        <f>IF(Calculation!E8=Calculation!$A$136,Calculation!I8,"")</f>
        <v/>
      </c>
      <c r="C8" s="52" t="str">
        <f>IF(Calculation!E8=Calculation!$A$138,Calculation!D8,"")</f>
        <v/>
      </c>
      <c r="D8" s="52" t="str">
        <f>IF(Calculation!E8=Calculation!$A$138,Calculation!C8,"")</f>
        <v/>
      </c>
      <c r="E8" s="52" t="str">
        <f>IF(Calculation!E8=Calculation!$A$138,Calculation!F8,"")</f>
        <v/>
      </c>
      <c r="F8" s="54" t="str">
        <f>IF(Calculation!E8=Calculation!$A$138,Calculation!G8,"")</f>
        <v/>
      </c>
      <c r="G8" s="54" t="str">
        <f>IF(Calculation!E8=Calculation!$A$138,Calculation!H8,"")</f>
        <v/>
      </c>
      <c r="H8" s="55"/>
    </row>
    <row r="9">
      <c r="A9" s="52" t="str">
        <f>IF(Calculation!E9=Calculation!$A$138,Calculation!B9,"")</f>
        <v/>
      </c>
      <c r="B9" s="53" t="str">
        <f>IF(Calculation!E9=Calculation!$A$136,Calculation!I9,"")</f>
        <v/>
      </c>
      <c r="C9" s="52" t="str">
        <f>IF(Calculation!E9=Calculation!$A$138,Calculation!D9,"")</f>
        <v/>
      </c>
      <c r="D9" s="52" t="str">
        <f>IF(Calculation!E9=Calculation!$A$138,Calculation!C9,"")</f>
        <v/>
      </c>
      <c r="E9" s="52" t="str">
        <f>IF(Calculation!E9=Calculation!$A$138,Calculation!F9,"")</f>
        <v/>
      </c>
      <c r="F9" s="54" t="str">
        <f>IF(Calculation!E9=Calculation!$A$138,Calculation!G9,"")</f>
        <v/>
      </c>
      <c r="G9" s="54" t="str">
        <f>IF(Calculation!E9=Calculation!$A$138,Calculation!H9,"")</f>
        <v/>
      </c>
      <c r="H9" s="55"/>
    </row>
    <row r="10">
      <c r="A10" s="52" t="str">
        <f>IF(Calculation!E10=Calculation!$A$138,Calculation!B10,"")</f>
        <v/>
      </c>
      <c r="B10" s="53" t="str">
        <f>IF(Calculation!E10=Calculation!$A$136,Calculation!I10,"")</f>
        <v/>
      </c>
      <c r="C10" s="52" t="str">
        <f>IF(Calculation!E10=Calculation!$A$138,Calculation!D10,"")</f>
        <v/>
      </c>
      <c r="D10" s="52" t="str">
        <f>IF(Calculation!E10=Calculation!$A$138,Calculation!C10,"")</f>
        <v/>
      </c>
      <c r="E10" s="52" t="str">
        <f>IF(Calculation!E10=Calculation!$A$138,Calculation!F10,"")</f>
        <v/>
      </c>
      <c r="F10" s="54" t="str">
        <f>IF(Calculation!E10=Calculation!$A$138,Calculation!G10,"")</f>
        <v/>
      </c>
      <c r="G10" s="54" t="str">
        <f>IF(Calculation!E10=Calculation!$A$138,Calculation!H10,"")</f>
        <v/>
      </c>
      <c r="H10" s="55"/>
    </row>
    <row r="11">
      <c r="A11" s="52" t="str">
        <f>IF(Calculation!E11=Calculation!$A$138,Calculation!B11,"")</f>
        <v/>
      </c>
      <c r="B11" s="53" t="str">
        <f>IF(Calculation!E11=Calculation!$A$136,Calculation!I11,"")</f>
        <v/>
      </c>
      <c r="C11" s="52" t="str">
        <f>IF(Calculation!E11=Calculation!$A$138,Calculation!D11,"")</f>
        <v/>
      </c>
      <c r="D11" s="52" t="str">
        <f>IF(Calculation!E11=Calculation!$A$138,Calculation!C11,"")</f>
        <v/>
      </c>
      <c r="E11" s="52" t="str">
        <f>IF(Calculation!E11=Calculation!$A$138,Calculation!F11,"")</f>
        <v/>
      </c>
      <c r="F11" s="54" t="str">
        <f>IF(Calculation!E11=Calculation!$A$138,Calculation!G11,"")</f>
        <v/>
      </c>
      <c r="G11" s="54" t="str">
        <f>IF(Calculation!E11=Calculation!$A$138,Calculation!H11,"")</f>
        <v/>
      </c>
      <c r="H11" s="55"/>
    </row>
    <row r="12">
      <c r="A12" s="52" t="str">
        <f>IF(Calculation!E12=Calculation!$A$138,Calculation!B12,"")</f>
        <v/>
      </c>
      <c r="B12" s="53" t="str">
        <f>IF(Calculation!E12=Calculation!$A$136,Calculation!I12,"")</f>
        <v/>
      </c>
      <c r="C12" s="52" t="str">
        <f>IF(Calculation!E12=Calculation!$A$138,Calculation!D12,"")</f>
        <v/>
      </c>
      <c r="D12" s="52" t="str">
        <f>IF(Calculation!E12=Calculation!$A$138,Calculation!C12,"")</f>
        <v/>
      </c>
      <c r="E12" s="52" t="str">
        <f>IF(Calculation!E12=Calculation!$A$138,Calculation!F12,"")</f>
        <v/>
      </c>
      <c r="F12" s="54" t="str">
        <f>IF(Calculation!E12=Calculation!$A$138,Calculation!G12,"")</f>
        <v/>
      </c>
      <c r="G12" s="54" t="str">
        <f>IF(Calculation!E12=Calculation!$A$138,Calculation!H12,"")</f>
        <v/>
      </c>
      <c r="H12" s="55"/>
    </row>
    <row r="13">
      <c r="A13" s="52" t="str">
        <f>IF(Calculation!E13=Calculation!$A$138,Calculation!B13,"")</f>
        <v/>
      </c>
      <c r="B13" s="53" t="str">
        <f>IF(Calculation!E13=Calculation!$A$136,Calculation!I13,"")</f>
        <v/>
      </c>
      <c r="C13" s="52" t="str">
        <f>IF(Calculation!E13=Calculation!$A$138,Calculation!D13,"")</f>
        <v/>
      </c>
      <c r="D13" s="52" t="str">
        <f>IF(Calculation!E13=Calculation!$A$138,Calculation!C13,"")</f>
        <v/>
      </c>
      <c r="E13" s="52" t="str">
        <f>IF(Calculation!E13=Calculation!$A$138,Calculation!F13,"")</f>
        <v/>
      </c>
      <c r="F13" s="54" t="str">
        <f>IF(Calculation!E13=Calculation!$A$138,Calculation!G13,"")</f>
        <v/>
      </c>
      <c r="G13" s="54" t="str">
        <f>IF(Calculation!E13=Calculation!$A$138,Calculation!H13,"")</f>
        <v/>
      </c>
      <c r="H13" s="55"/>
    </row>
    <row r="14">
      <c r="A14" s="52" t="str">
        <f>IF(Calculation!E14=Calculation!$A$138,Calculation!B14,"")</f>
        <v/>
      </c>
      <c r="B14" s="53" t="str">
        <f>IF(Calculation!E14=Calculation!$A$136,Calculation!I14,"")</f>
        <v/>
      </c>
      <c r="C14" s="52" t="str">
        <f>IF(Calculation!E14=Calculation!$A$138,Calculation!D14,"")</f>
        <v/>
      </c>
      <c r="D14" s="52" t="str">
        <f>IF(Calculation!E14=Calculation!$A$138,Calculation!C14,"")</f>
        <v/>
      </c>
      <c r="E14" s="52" t="str">
        <f>IF(Calculation!E14=Calculation!$A$138,Calculation!F14,"")</f>
        <v/>
      </c>
      <c r="F14" s="54" t="str">
        <f>IF(Calculation!E14=Calculation!$A$138,Calculation!G14,"")</f>
        <v/>
      </c>
      <c r="G14" s="54" t="str">
        <f>IF(Calculation!E14=Calculation!$A$138,Calculation!H14,"")</f>
        <v/>
      </c>
      <c r="H14" s="55"/>
    </row>
    <row r="15">
      <c r="A15" s="52" t="str">
        <f>IF(Calculation!E15=Calculation!$A$138,Calculation!B15,"")</f>
        <v/>
      </c>
      <c r="B15" s="53" t="str">
        <f>IF(Calculation!E15=Calculation!$A$136,Calculation!I15,"")</f>
        <v/>
      </c>
      <c r="C15" s="52" t="str">
        <f>IF(Calculation!E15=Calculation!$A$138,Calculation!D15,"")</f>
        <v/>
      </c>
      <c r="D15" s="52" t="str">
        <f>IF(Calculation!E15=Calculation!$A$138,Calculation!C15,"")</f>
        <v/>
      </c>
      <c r="E15" s="52" t="str">
        <f>IF(Calculation!E15=Calculation!$A$138,Calculation!F15,"")</f>
        <v/>
      </c>
      <c r="F15" s="54" t="str">
        <f>IF(Calculation!E15=Calculation!$A$138,Calculation!G15,"")</f>
        <v/>
      </c>
      <c r="G15" s="54" t="str">
        <f>IF(Calculation!E15=Calculation!$A$138,Calculation!H15,"")</f>
        <v/>
      </c>
      <c r="H15" s="55"/>
    </row>
    <row r="16">
      <c r="A16" s="52" t="str">
        <f>IF(Calculation!E16=Calculation!$A$138,Calculation!B16,"")</f>
        <v/>
      </c>
      <c r="B16" s="53" t="str">
        <f>IF(Calculation!E16=Calculation!$A$136,Calculation!I16,"")</f>
        <v/>
      </c>
      <c r="C16" s="52" t="str">
        <f>IF(Calculation!E16=Calculation!$A$138,Calculation!D16,"")</f>
        <v/>
      </c>
      <c r="D16" s="52" t="str">
        <f>IF(Calculation!E16=Calculation!$A$138,Calculation!C16,"")</f>
        <v/>
      </c>
      <c r="E16" s="52" t="str">
        <f>IF(Calculation!E16=Calculation!$A$138,Calculation!F16,"")</f>
        <v/>
      </c>
      <c r="F16" s="54" t="str">
        <f>IF(Calculation!E16=Calculation!$A$138,Calculation!G16,"")</f>
        <v/>
      </c>
      <c r="G16" s="54" t="str">
        <f>IF(Calculation!E16=Calculation!$A$138,Calculation!H16,"")</f>
        <v/>
      </c>
      <c r="H16" s="55"/>
    </row>
    <row r="17">
      <c r="A17" s="52" t="str">
        <f>IF(Calculation!E17=Calculation!$A$138,Calculation!B17,"")</f>
        <v/>
      </c>
      <c r="B17" s="53" t="str">
        <f>IF(Calculation!E17=Calculation!$A$136,Calculation!I17,"")</f>
        <v/>
      </c>
      <c r="C17" s="52" t="str">
        <f>IF(Calculation!E17=Calculation!$A$138,Calculation!D17,"")</f>
        <v/>
      </c>
      <c r="D17" s="52" t="str">
        <f>IF(Calculation!E17=Calculation!$A$138,Calculation!C17,"")</f>
        <v/>
      </c>
      <c r="E17" s="52" t="str">
        <f>IF(Calculation!E17=Calculation!$A$138,Calculation!F17,"")</f>
        <v/>
      </c>
      <c r="F17" s="54" t="str">
        <f>IF(Calculation!E17=Calculation!$A$138,Calculation!G17,"")</f>
        <v/>
      </c>
      <c r="G17" s="54" t="str">
        <f>IF(Calculation!E17=Calculation!$A$138,Calculation!H17,"")</f>
        <v/>
      </c>
      <c r="H17" s="55"/>
    </row>
    <row r="18">
      <c r="A18" s="52" t="str">
        <f>IF(Calculation!E18=Calculation!$A$138,Calculation!B18,"")</f>
        <v/>
      </c>
      <c r="B18" s="53" t="str">
        <f>IF(Calculation!E18=Calculation!$A$136,Calculation!I18,"")</f>
        <v/>
      </c>
      <c r="C18" s="52" t="str">
        <f>IF(Calculation!E18=Calculation!$A$138,Calculation!D18,"")</f>
        <v/>
      </c>
      <c r="D18" s="52" t="str">
        <f>IF(Calculation!E18=Calculation!$A$138,Calculation!C18,"")</f>
        <v/>
      </c>
      <c r="E18" s="52" t="str">
        <f>IF(Calculation!E18=Calculation!$A$138,Calculation!F18,"")</f>
        <v/>
      </c>
      <c r="F18" s="54" t="str">
        <f>IF(Calculation!E18=Calculation!$A$138,Calculation!G18,"")</f>
        <v/>
      </c>
      <c r="G18" s="54" t="str">
        <f>IF(Calculation!E18=Calculation!$A$138,Calculation!H18,"")</f>
        <v/>
      </c>
      <c r="H18" s="55"/>
    </row>
    <row r="19" ht="23.25" customHeight="1">
      <c r="A19" s="52" t="str">
        <f>IF(Calculation!E19=Calculation!$A$138,Calculation!B19,"")</f>
        <v/>
      </c>
      <c r="B19" s="53" t="str">
        <f>IF(Calculation!E19=Calculation!$A$136,Calculation!I19,"")</f>
        <v/>
      </c>
      <c r="C19" s="52" t="str">
        <f>IF(Calculation!E19=Calculation!$A$138,Calculation!D19,"")</f>
        <v/>
      </c>
      <c r="D19" s="52" t="str">
        <f>IF(Calculation!E19=Calculation!$A$138,Calculation!C19,"")</f>
        <v/>
      </c>
      <c r="E19" s="52" t="str">
        <f>IF(Calculation!E19=Calculation!$A$138,Calculation!F19,"")</f>
        <v/>
      </c>
      <c r="F19" s="54" t="str">
        <f>IF(Calculation!E19=Calculation!$A$138,Calculation!G19,"")</f>
        <v/>
      </c>
      <c r="G19" s="54" t="str">
        <f>IF(Calculation!E19=Calculation!$A$138,Calculation!H19,"")</f>
        <v/>
      </c>
      <c r="H19" s="55"/>
    </row>
    <row r="20" ht="18.0" customHeight="1">
      <c r="A20" s="52" t="str">
        <f>IF(Calculation!E20=Calculation!$A$138,Calculation!B20,"")</f>
        <v/>
      </c>
      <c r="B20" s="53" t="str">
        <f>IF(Calculation!E20=Calculation!$A$136,Calculation!I20,"")</f>
        <v/>
      </c>
      <c r="C20" s="52" t="str">
        <f>IF(Calculation!E20=Calculation!$A$138,Calculation!D20,"")</f>
        <v/>
      </c>
      <c r="D20" s="52" t="str">
        <f>IF(Calculation!E20=Calculation!$A$138,Calculation!C20,"")</f>
        <v/>
      </c>
      <c r="E20" s="52" t="str">
        <f>IF(Calculation!E20=Calculation!$A$138,Calculation!F20,"")</f>
        <v/>
      </c>
      <c r="F20" s="54" t="str">
        <f>IF(Calculation!E20=Calculation!$A$138,Calculation!G20,"")</f>
        <v/>
      </c>
      <c r="G20" s="54" t="str">
        <f>IF(Calculation!E20=Calculation!$A$138,Calculation!H20,"")</f>
        <v/>
      </c>
      <c r="H20" s="55"/>
    </row>
    <row r="21" ht="21.0" customHeight="1">
      <c r="A21" s="52" t="str">
        <f>IF(Calculation!E21=Calculation!$A$138,Calculation!B21,"")</f>
        <v/>
      </c>
      <c r="B21" s="53" t="str">
        <f>IF(Calculation!E21=Calculation!$A$136,Calculation!I21,"")</f>
        <v/>
      </c>
      <c r="C21" s="52" t="str">
        <f>IF(Calculation!E21=Calculation!$A$138,Calculation!D21,"")</f>
        <v/>
      </c>
      <c r="D21" s="52" t="str">
        <f>IF(Calculation!E21=Calculation!$A$138,Calculation!C21,"")</f>
        <v/>
      </c>
      <c r="E21" s="52" t="str">
        <f>IF(Calculation!E21=Calculation!$A$138,Calculation!F21,"")</f>
        <v/>
      </c>
      <c r="F21" s="54" t="str">
        <f>IF(Calculation!E21=Calculation!$A$138,Calculation!G21,"")</f>
        <v/>
      </c>
      <c r="G21" s="54" t="str">
        <f>IF(Calculation!E21=Calculation!$A$138,Calculation!H21,"")</f>
        <v/>
      </c>
      <c r="H21" s="55"/>
      <c r="L21" s="59"/>
      <c r="M21" s="59"/>
      <c r="N21" s="59"/>
      <c r="O21" s="60"/>
      <c r="P21" s="59"/>
      <c r="Q21" s="59"/>
      <c r="R21" s="59"/>
      <c r="S21" s="59"/>
      <c r="T21" s="61"/>
    </row>
    <row r="22" ht="21.0" customHeight="1">
      <c r="A22" s="52" t="str">
        <f>IF(Calculation!E22=Calculation!$A$138,Calculation!B22,"")</f>
        <v/>
      </c>
      <c r="B22" s="53" t="str">
        <f>IF(Calculation!E22=Calculation!$A$136,Calculation!I22,"")</f>
        <v/>
      </c>
      <c r="C22" s="52" t="str">
        <f>IF(Calculation!E22=Calculation!$A$138,Calculation!D22,"")</f>
        <v/>
      </c>
      <c r="D22" s="52" t="str">
        <f>IF(Calculation!E22=Calculation!$A$138,Calculation!C22,"")</f>
        <v/>
      </c>
      <c r="E22" s="52" t="str">
        <f>IF(Calculation!E22=Calculation!$A$138,Calculation!F22,"")</f>
        <v/>
      </c>
      <c r="F22" s="54" t="str">
        <f>IF(Calculation!E22=Calculation!$A$138,Calculation!G22,"")</f>
        <v/>
      </c>
      <c r="G22" s="54" t="str">
        <f>IF(Calculation!E22=Calculation!$A$138,Calculation!H22,"")</f>
        <v/>
      </c>
      <c r="H22" s="55"/>
      <c r="L22" s="62"/>
      <c r="M22" s="62"/>
      <c r="N22" s="62"/>
      <c r="O22" s="63"/>
      <c r="P22" s="62"/>
      <c r="Q22" s="62"/>
      <c r="R22" s="62"/>
      <c r="S22" s="62"/>
      <c r="T22" s="64"/>
    </row>
    <row r="23" ht="20.25" customHeight="1">
      <c r="A23" s="52" t="str">
        <f>IF(Calculation!E23=Calculation!$A$138,Calculation!B23,"")</f>
        <v/>
      </c>
      <c r="B23" s="53" t="str">
        <f>IF(Calculation!E23=Calculation!$A$136,Calculation!I23,"")</f>
        <v/>
      </c>
      <c r="C23" s="52" t="str">
        <f>IF(Calculation!E23=Calculation!$A$138,Calculation!D23,"")</f>
        <v/>
      </c>
      <c r="D23" s="52" t="str">
        <f>IF(Calculation!E23=Calculation!$A$138,Calculation!C23,"")</f>
        <v/>
      </c>
      <c r="E23" s="52" t="str">
        <f>IF(Calculation!E23=Calculation!$A$138,Calculation!F23,"")</f>
        <v/>
      </c>
      <c r="F23" s="54" t="str">
        <f>IF(Calculation!E23=Calculation!$A$138,Calculation!G23,"")</f>
        <v/>
      </c>
      <c r="G23" s="54" t="str">
        <f>IF(Calculation!E23=Calculation!$A$138,Calculation!H23,"")</f>
        <v/>
      </c>
      <c r="H23" s="55"/>
      <c r="L23" s="65" t="s">
        <v>53</v>
      </c>
      <c r="P23" s="62"/>
      <c r="Q23" s="62"/>
      <c r="R23" s="62"/>
      <c r="S23" s="62"/>
      <c r="T23" s="64"/>
    </row>
    <row r="24">
      <c r="A24" s="52" t="str">
        <f>IF(Calculation!E24=Calculation!$A$138,Calculation!B24,"")</f>
        <v/>
      </c>
      <c r="B24" s="53" t="str">
        <f>IF(Calculation!E24=Calculation!$A$136,Calculation!I24,"")</f>
        <v/>
      </c>
      <c r="C24" s="52" t="str">
        <f>IF(Calculation!E24=Calculation!$A$138,Calculation!D24,"")</f>
        <v/>
      </c>
      <c r="D24" s="52" t="str">
        <f>IF(Calculation!E24=Calculation!$A$138,Calculation!C24,"")</f>
        <v/>
      </c>
      <c r="E24" s="52" t="str">
        <f>IF(Calculation!E24=Calculation!$A$138,Calculation!F24,"")</f>
        <v/>
      </c>
      <c r="F24" s="54" t="str">
        <f>IF(Calculation!E24=Calculation!$A$138,Calculation!G24,"")</f>
        <v/>
      </c>
      <c r="G24" s="54" t="str">
        <f>IF(Calculation!E24=Calculation!$A$138,Calculation!H24,"")</f>
        <v/>
      </c>
      <c r="H24" s="55"/>
      <c r="L24" s="106" t="s">
        <v>75</v>
      </c>
      <c r="P24" s="62"/>
      <c r="Q24" s="62"/>
      <c r="R24" s="62"/>
      <c r="S24" s="62"/>
      <c r="T24" s="64"/>
    </row>
    <row r="25">
      <c r="A25" s="52" t="str">
        <f>IF(Calculation!E25=Calculation!$A$138,Calculation!B25,"")</f>
        <v/>
      </c>
      <c r="B25" s="53" t="str">
        <f>IF(Calculation!E25=Calculation!$A$136,Calculation!I25,"")</f>
        <v/>
      </c>
      <c r="C25" s="52" t="str">
        <f>IF(Calculation!E25=Calculation!$A$138,Calculation!D25,"")</f>
        <v/>
      </c>
      <c r="D25" s="52" t="str">
        <f>IF(Calculation!E25=Calculation!$A$138,Calculation!C25,"")</f>
        <v/>
      </c>
      <c r="E25" s="52" t="str">
        <f>IF(Calculation!E25=Calculation!$A$138,Calculation!F25,"")</f>
        <v/>
      </c>
      <c r="F25" s="54" t="str">
        <f>IF(Calculation!E25=Calculation!$A$138,Calculation!G25,"")</f>
        <v/>
      </c>
      <c r="G25" s="54" t="str">
        <f>IF(Calculation!E25=Calculation!$A$138,Calculation!H25,"")</f>
        <v/>
      </c>
      <c r="H25" s="55"/>
      <c r="L25" s="107" t="s">
        <v>76</v>
      </c>
      <c r="P25" s="62"/>
      <c r="Q25" s="62"/>
      <c r="R25" s="62"/>
      <c r="S25" s="62"/>
      <c r="T25" s="64"/>
    </row>
    <row r="26">
      <c r="A26" s="52" t="str">
        <f>IF(Calculation!E26=Calculation!$A$138,Calculation!B26,"")</f>
        <v/>
      </c>
      <c r="B26" s="53" t="str">
        <f>IF(Calculation!E26=Calculation!$A$136,Calculation!I26,"")</f>
        <v/>
      </c>
      <c r="C26" s="52" t="str">
        <f>IF(Calculation!E26=Calculation!$A$138,Calculation!D26,"")</f>
        <v/>
      </c>
      <c r="D26" s="52" t="str">
        <f>IF(Calculation!E26=Calculation!$A$138,Calculation!C26,"")</f>
        <v/>
      </c>
      <c r="E26" s="52" t="str">
        <f>IF(Calculation!E26=Calculation!$A$138,Calculation!F26,"")</f>
        <v/>
      </c>
      <c r="F26" s="54" t="str">
        <f>IF(Calculation!E26=Calculation!$A$138,Calculation!G26,"")</f>
        <v/>
      </c>
      <c r="G26" s="54" t="str">
        <f>IF(Calculation!E26=Calculation!$A$138,Calculation!H26,"")</f>
        <v/>
      </c>
      <c r="H26" s="55"/>
      <c r="L26" s="78" t="s">
        <v>77</v>
      </c>
      <c r="O26" s="72"/>
      <c r="P26" s="69"/>
      <c r="Q26" s="69"/>
      <c r="R26" s="69"/>
      <c r="S26" s="69"/>
      <c r="T26" s="70"/>
    </row>
    <row r="27">
      <c r="A27" s="52" t="str">
        <f>IF(Calculation!E27=Calculation!$A$138,Calculation!B27,"")</f>
        <v/>
      </c>
      <c r="B27" s="53" t="str">
        <f>IF(Calculation!E27=Calculation!$A$136,Calculation!I27,"")</f>
        <v/>
      </c>
      <c r="C27" s="52" t="str">
        <f>IF(Calculation!E27=Calculation!$A$138,Calculation!D27,"")</f>
        <v/>
      </c>
      <c r="D27" s="52" t="str">
        <f>IF(Calculation!E27=Calculation!$A$138,Calculation!C27,"")</f>
        <v/>
      </c>
      <c r="E27" s="52" t="str">
        <f>IF(Calculation!E27=Calculation!$A$138,Calculation!F27,"")</f>
        <v/>
      </c>
      <c r="F27" s="54" t="str">
        <f>IF(Calculation!E27=Calculation!$A$138,Calculation!G27,"")</f>
        <v/>
      </c>
      <c r="G27" s="54" t="str">
        <f>IF(Calculation!E27=Calculation!$A$138,Calculation!H27,"")</f>
        <v/>
      </c>
      <c r="H27" s="55"/>
      <c r="L27" s="62"/>
      <c r="M27" s="62"/>
      <c r="N27" s="62"/>
      <c r="O27" s="62"/>
      <c r="P27" s="62"/>
      <c r="Q27" s="62"/>
      <c r="R27" s="62"/>
      <c r="S27" s="62"/>
      <c r="T27" s="64"/>
    </row>
    <row r="28">
      <c r="A28" s="52" t="str">
        <f>IF(Calculation!E28=Calculation!$A$138,Calculation!B28,"")</f>
        <v/>
      </c>
      <c r="B28" s="53" t="str">
        <f>IF(Calculation!E28=Calculation!$A$136,Calculation!I28,"")</f>
        <v/>
      </c>
      <c r="C28" s="52" t="str">
        <f>IF(Calculation!E28=Calculation!$A$138,Calculation!D28,"")</f>
        <v/>
      </c>
      <c r="D28" s="52" t="str">
        <f>IF(Calculation!E28=Calculation!$A$138,Calculation!C28,"")</f>
        <v/>
      </c>
      <c r="E28" s="52" t="str">
        <f>IF(Calculation!E28=Calculation!$A$138,Calculation!F28,"")</f>
        <v/>
      </c>
      <c r="F28" s="54" t="str">
        <f>IF(Calculation!E28=Calculation!$A$138,Calculation!G28,"")</f>
        <v/>
      </c>
      <c r="G28" s="54" t="str">
        <f>IF(Calculation!E28=Calculation!$A$138,Calculation!H28,"")</f>
        <v/>
      </c>
      <c r="H28" s="55"/>
      <c r="L28" s="108" t="s">
        <v>78</v>
      </c>
      <c r="Q28" s="62"/>
      <c r="R28" s="62"/>
      <c r="S28" s="69"/>
      <c r="T28" s="70"/>
    </row>
    <row r="29">
      <c r="A29" s="52" t="str">
        <f>IF(Calculation!E29=Calculation!$A$138,Calculation!B29,"")</f>
        <v/>
      </c>
      <c r="B29" s="53" t="str">
        <f>IF(Calculation!E29=Calculation!$A$136,Calculation!I29,"")</f>
        <v/>
      </c>
      <c r="C29" s="52" t="str">
        <f>IF(Calculation!E29=Calculation!$A$138,Calculation!D29,"")</f>
        <v/>
      </c>
      <c r="D29" s="52" t="str">
        <f>IF(Calculation!E29=Calculation!$A$138,Calculation!C29,"")</f>
        <v/>
      </c>
      <c r="E29" s="52" t="str">
        <f>IF(Calculation!E29=Calculation!$A$138,Calculation!F29,"")</f>
        <v/>
      </c>
      <c r="F29" s="54" t="str">
        <f>IF(Calculation!E29=Calculation!$A$138,Calculation!G29,"")</f>
        <v/>
      </c>
      <c r="G29" s="54" t="str">
        <f>IF(Calculation!E29=Calculation!$A$138,Calculation!H29,"")</f>
        <v/>
      </c>
      <c r="H29" s="55"/>
      <c r="L29" s="74" t="s">
        <v>58</v>
      </c>
      <c r="O29" s="75">
        <v>45462.0</v>
      </c>
      <c r="Q29" s="62"/>
      <c r="R29" s="62"/>
      <c r="S29" s="69"/>
      <c r="T29" s="70"/>
    </row>
    <row r="30">
      <c r="A30" s="52" t="str">
        <f>IF(Calculation!E30=Calculation!$A$138,Calculation!B30,"")</f>
        <v/>
      </c>
      <c r="B30" s="53" t="str">
        <f>IF(Calculation!E30=Calculation!$A$136,Calculation!I30,"")</f>
        <v/>
      </c>
      <c r="C30" s="52" t="str">
        <f>IF(Calculation!E30=Calculation!$A$138,Calculation!D30,"")</f>
        <v/>
      </c>
      <c r="D30" s="52" t="str">
        <f>IF(Calculation!E30=Calculation!$A$138,Calculation!C30,"")</f>
        <v/>
      </c>
      <c r="E30" s="52" t="str">
        <f>IF(Calculation!E30=Calculation!$A$138,Calculation!F30,"")</f>
        <v/>
      </c>
      <c r="F30" s="54" t="str">
        <f>IF(Calculation!E30=Calculation!$A$138,Calculation!G30,"")</f>
        <v/>
      </c>
      <c r="G30" s="54" t="str">
        <f>IF(Calculation!E30=Calculation!$A$138,Calculation!H30,"")</f>
        <v/>
      </c>
      <c r="H30" s="55"/>
      <c r="L30" s="76"/>
      <c r="O30" s="62"/>
      <c r="Q30" s="62"/>
      <c r="S30" s="69"/>
      <c r="T30" s="70"/>
    </row>
    <row r="31">
      <c r="A31" s="52" t="str">
        <f>IF(Calculation!E31=Calculation!$A$138,Calculation!B31,"")</f>
        <v/>
      </c>
      <c r="B31" s="53" t="str">
        <f>IF(Calculation!E31=Calculation!$A$136,Calculation!I31,"")</f>
        <v/>
      </c>
      <c r="C31" s="52" t="str">
        <f>IF(Calculation!E31=Calculation!$A$138,Calculation!D31,"")</f>
        <v/>
      </c>
      <c r="D31" s="52" t="str">
        <f>IF(Calculation!E31=Calculation!$A$138,Calculation!C31,"")</f>
        <v/>
      </c>
      <c r="E31" s="52" t="str">
        <f>IF(Calculation!E31=Calculation!$A$138,Calculation!F31,"")</f>
        <v/>
      </c>
      <c r="F31" s="54" t="str">
        <f>IF(Calculation!E31=Calculation!$A$138,Calculation!G31,"")</f>
        <v/>
      </c>
      <c r="G31" s="54" t="str">
        <f>IF(Calculation!E31=Calculation!$A$138,Calculation!H31,"")</f>
        <v/>
      </c>
      <c r="H31" s="55"/>
      <c r="L31" s="77" t="s">
        <v>59</v>
      </c>
      <c r="O31" s="77" t="s">
        <v>60</v>
      </c>
      <c r="Q31" s="77" t="s">
        <v>61</v>
      </c>
      <c r="S31" s="69"/>
      <c r="T31" s="70"/>
    </row>
    <row r="32">
      <c r="A32" s="52" t="str">
        <f>IF(Calculation!E32=Calculation!$A$138,Calculation!B32,"")</f>
        <v/>
      </c>
      <c r="B32" s="53" t="str">
        <f>IF(Calculation!E32=Calculation!$A$136,Calculation!I32,"")</f>
        <v/>
      </c>
      <c r="C32" s="52" t="str">
        <f>IF(Calculation!E32=Calculation!$A$138,Calculation!D32,"")</f>
        <v/>
      </c>
      <c r="D32" s="52" t="str">
        <f>IF(Calculation!E32=Calculation!$A$138,Calculation!C32,"")</f>
        <v/>
      </c>
      <c r="E32" s="52" t="str">
        <f>IF(Calculation!E32=Calculation!$A$138,Calculation!F32,"")</f>
        <v/>
      </c>
      <c r="F32" s="54" t="str">
        <f>IF(Calculation!E32=Calculation!$A$138,Calculation!G32,"")</f>
        <v/>
      </c>
      <c r="G32" s="54" t="str">
        <f>IF(Calculation!E32=Calculation!$A$138,Calculation!H32,"")</f>
        <v/>
      </c>
      <c r="H32" s="55"/>
      <c r="L32" s="78" t="str">
        <f>Calculation!A136</f>
        <v>In-Charge</v>
      </c>
      <c r="O32" s="78" t="str">
        <f>Calculation!A136</f>
        <v>In-Charge</v>
      </c>
      <c r="Q32" s="79">
        <v>123456.0</v>
      </c>
      <c r="S32" s="69"/>
      <c r="T32" s="70"/>
    </row>
    <row r="33">
      <c r="A33" s="52" t="str">
        <f>IF(Calculation!E33=Calculation!$A$138,Calculation!B33,"")</f>
        <v/>
      </c>
      <c r="B33" s="53" t="str">
        <f>IF(Calculation!E33=Calculation!$A$136,Calculation!I33,"")</f>
        <v/>
      </c>
      <c r="C33" s="52" t="str">
        <f>IF(Calculation!E33=Calculation!$A$138,Calculation!D33,"")</f>
        <v/>
      </c>
      <c r="D33" s="52" t="str">
        <f>IF(Calculation!E33=Calculation!$A$138,Calculation!C33,"")</f>
        <v/>
      </c>
      <c r="E33" s="52" t="str">
        <f>IF(Calculation!E33=Calculation!$A$138,Calculation!F33,"")</f>
        <v/>
      </c>
      <c r="F33" s="54" t="str">
        <f>IF(Calculation!E33=Calculation!$A$138,Calculation!G33,"")</f>
        <v/>
      </c>
      <c r="G33" s="54" t="str">
        <f>IF(Calculation!E33=Calculation!$A$138,Calculation!H33,"")</f>
        <v/>
      </c>
      <c r="H33" s="55"/>
      <c r="L33" s="78" t="s">
        <v>62</v>
      </c>
      <c r="O33" s="72"/>
      <c r="Q33" s="62"/>
      <c r="S33" s="69"/>
      <c r="T33" s="70"/>
    </row>
    <row r="34">
      <c r="A34" s="52" t="str">
        <f>IF(Calculation!E34=Calculation!$A$138,Calculation!B34,"")</f>
        <v/>
      </c>
      <c r="B34" s="53" t="str">
        <f>IF(Calculation!E34=Calculation!$A$136,Calculation!I34,"")</f>
        <v/>
      </c>
      <c r="C34" s="52" t="str">
        <f>IF(Calculation!E34=Calculation!$A$138,Calculation!D34,"")</f>
        <v/>
      </c>
      <c r="D34" s="52" t="str">
        <f>IF(Calculation!E34=Calculation!$A$138,Calculation!C34,"")</f>
        <v/>
      </c>
      <c r="E34" s="52" t="str">
        <f>IF(Calculation!E34=Calculation!$A$138,Calculation!F34,"")</f>
        <v/>
      </c>
      <c r="F34" s="54" t="str">
        <f>IF(Calculation!E34=Calculation!$A$138,Calculation!G34,"")</f>
        <v/>
      </c>
      <c r="G34" s="54" t="str">
        <f>IF(Calculation!E34=Calculation!$A$138,Calculation!H34,"")</f>
        <v/>
      </c>
      <c r="H34" s="55"/>
      <c r="L34" s="78" t="s">
        <v>63</v>
      </c>
      <c r="O34" s="80" t="s">
        <v>64</v>
      </c>
      <c r="Q34" s="80" t="s">
        <v>65</v>
      </c>
      <c r="S34" s="69"/>
      <c r="T34" s="70"/>
    </row>
    <row r="35">
      <c r="A35" s="52" t="str">
        <f>IF(Calculation!E35=Calculation!$A$138,Calculation!B35,"")</f>
        <v/>
      </c>
      <c r="B35" s="53" t="str">
        <f>IF(Calculation!E35=Calculation!$A$136,Calculation!I35,"")</f>
        <v/>
      </c>
      <c r="C35" s="52" t="str">
        <f>IF(Calculation!E35=Calculation!$A$138,Calculation!D35,"")</f>
        <v/>
      </c>
      <c r="D35" s="52" t="str">
        <f>IF(Calculation!E35=Calculation!$A$138,Calculation!C35,"")</f>
        <v/>
      </c>
      <c r="E35" s="52" t="str">
        <f>IF(Calculation!E35=Calculation!$A$138,Calculation!F35,"")</f>
        <v/>
      </c>
      <c r="F35" s="54" t="str">
        <f>IF(Calculation!E35=Calculation!$A$138,Calculation!G35,"")</f>
        <v/>
      </c>
      <c r="G35" s="54" t="str">
        <f>IF(Calculation!E35=Calculation!$A$138,Calculation!H35,"")</f>
        <v/>
      </c>
      <c r="H35" s="55"/>
      <c r="L35" s="78" t="s">
        <v>66</v>
      </c>
      <c r="O35" s="78" t="s">
        <v>67</v>
      </c>
      <c r="Q35" s="75">
        <v>36531.0</v>
      </c>
      <c r="S35" s="69"/>
      <c r="T35" s="70"/>
    </row>
    <row r="36">
      <c r="A36" s="52" t="str">
        <f>IF(Calculation!E36=Calculation!$A$138,Calculation!B36,"")</f>
        <v/>
      </c>
      <c r="B36" s="53" t="str">
        <f>IF(Calculation!E36=Calculation!$A$136,Calculation!I36,"")</f>
        <v/>
      </c>
      <c r="C36" s="52" t="str">
        <f>IF(Calculation!E36=Calculation!$A$138,Calculation!D36,"")</f>
        <v/>
      </c>
      <c r="D36" s="52" t="str">
        <f>IF(Calculation!E36=Calculation!$A$138,Calculation!C36,"")</f>
        <v/>
      </c>
      <c r="E36" s="52" t="str">
        <f>IF(Calculation!E36=Calculation!$A$138,Calculation!F36,"")</f>
        <v/>
      </c>
      <c r="F36" s="54" t="str">
        <f>IF(Calculation!E36=Calculation!$A$138,Calculation!G36,"")</f>
        <v/>
      </c>
      <c r="G36" s="54" t="str">
        <f>IF(Calculation!E36=Calculation!$A$138,Calculation!H36,"")</f>
        <v/>
      </c>
      <c r="H36" s="55"/>
      <c r="L36" s="81"/>
      <c r="M36" s="82"/>
      <c r="N36" s="82"/>
      <c r="O36" s="81"/>
      <c r="P36" s="82"/>
      <c r="Q36" s="81"/>
      <c r="R36" s="82"/>
      <c r="S36" s="62"/>
      <c r="T36" s="64"/>
    </row>
    <row r="37">
      <c r="A37" s="52" t="str">
        <f>IF(Calculation!E37=Calculation!$A$138,Calculation!B37,"")</f>
        <v/>
      </c>
      <c r="B37" s="53" t="str">
        <f>IF(Calculation!E37=Calculation!$A$136,Calculation!I37,"")</f>
        <v/>
      </c>
      <c r="C37" s="52" t="str">
        <f>IF(Calculation!E37=Calculation!$A$138,Calculation!D37,"")</f>
        <v/>
      </c>
      <c r="D37" s="52" t="str">
        <f>IF(Calculation!E37=Calculation!$A$138,Calculation!C37,"")</f>
        <v/>
      </c>
      <c r="E37" s="52" t="str">
        <f>IF(Calculation!E37=Calculation!$A$138,Calculation!F37,"")</f>
        <v/>
      </c>
      <c r="F37" s="54" t="str">
        <f>IF(Calculation!E37=Calculation!$A$138,Calculation!G37,"")</f>
        <v/>
      </c>
      <c r="G37" s="54" t="str">
        <f>IF(Calculation!E37=Calculation!$A$138,Calculation!H37,"")</f>
        <v/>
      </c>
      <c r="H37" s="55"/>
      <c r="L37" s="62"/>
      <c r="M37" s="62"/>
      <c r="N37" s="62"/>
      <c r="O37" s="62"/>
      <c r="P37" s="69"/>
      <c r="Q37" s="62"/>
      <c r="R37" s="62"/>
      <c r="S37" s="69"/>
      <c r="T37" s="70"/>
    </row>
    <row r="38">
      <c r="A38" s="52" t="str">
        <f>IF(Calculation!E38=Calculation!$A$138,Calculation!B38,"")</f>
        <v/>
      </c>
      <c r="B38" s="53" t="str">
        <f>IF(Calculation!E38=Calculation!$A$136,Calculation!I38,"")</f>
        <v/>
      </c>
      <c r="C38" s="52" t="str">
        <f>IF(Calculation!E38=Calculation!$A$138,Calculation!D38,"")</f>
        <v/>
      </c>
      <c r="D38" s="52" t="str">
        <f>IF(Calculation!E38=Calculation!$A$138,Calculation!C38,"")</f>
        <v/>
      </c>
      <c r="E38" s="52" t="str">
        <f>IF(Calculation!E38=Calculation!$A$138,Calculation!F38,"")</f>
        <v/>
      </c>
      <c r="F38" s="54" t="str">
        <f>IF(Calculation!E38=Calculation!$A$138,Calculation!G38,"")</f>
        <v/>
      </c>
      <c r="G38" s="54" t="str">
        <f>IF(Calculation!E38=Calculation!$A$138,Calculation!H38,"")</f>
        <v/>
      </c>
      <c r="H38" s="55"/>
      <c r="L38" s="83" t="s">
        <v>68</v>
      </c>
      <c r="P38" s="84" t="s">
        <v>49</v>
      </c>
      <c r="Q38" s="84" t="s">
        <v>69</v>
      </c>
      <c r="R38" s="84" t="s">
        <v>70</v>
      </c>
      <c r="S38" s="69"/>
      <c r="T38" s="70"/>
    </row>
    <row r="39">
      <c r="A39" s="52"/>
      <c r="B39" s="53"/>
      <c r="C39" s="52"/>
      <c r="D39" s="52"/>
      <c r="E39" s="52"/>
      <c r="F39" s="54"/>
      <c r="G39" s="54"/>
      <c r="H39" s="55"/>
      <c r="L39" s="85" t="s">
        <v>85</v>
      </c>
      <c r="M39" s="85"/>
      <c r="N39" s="85"/>
      <c r="O39" s="85"/>
      <c r="P39" s="126">
        <v>1.0</v>
      </c>
      <c r="Q39" s="121">
        <f>SUMIF(Calculation!$D$3:$D$125,Calculation!A138,Calculation!$J$3:$J$125)</f>
        <v>1026</v>
      </c>
      <c r="R39" s="122">
        <f>PRODUCT(P39,Q39)</f>
        <v>1026</v>
      </c>
      <c r="S39" s="69"/>
      <c r="T39" s="70"/>
    </row>
    <row r="40">
      <c r="A40" s="52" t="str">
        <f>IF(Calculation!E39=Calculation!$A$138,Calculation!B39,"")</f>
        <v/>
      </c>
      <c r="B40" s="53" t="str">
        <f>IF(Calculation!E39=Calculation!$A$136,Calculation!I39,"")</f>
        <v/>
      </c>
      <c r="C40" s="52" t="str">
        <f>IF(Calculation!E39=Calculation!$A$138,Calculation!D39,"")</f>
        <v/>
      </c>
      <c r="D40" s="52" t="str">
        <f>IF(Calculation!E39=Calculation!$A$138,Calculation!C39,"")</f>
        <v/>
      </c>
      <c r="E40" s="52" t="str">
        <f>IF(Calculation!E39=Calculation!$A$138,Calculation!F39,"")</f>
        <v/>
      </c>
      <c r="F40" s="54" t="str">
        <f>IF(Calculation!E39=Calculation!$A$138,Calculation!G39,"")</f>
        <v/>
      </c>
      <c r="G40" s="54" t="str">
        <f>IF(Calculation!E39=Calculation!$A$138,Calculation!H39,"")</f>
        <v/>
      </c>
      <c r="H40" s="55"/>
      <c r="L40" s="85" t="s">
        <v>34</v>
      </c>
      <c r="P40" s="86">
        <f>SUMIFS(Calculation!$F$3:$F$125,Calculation!$C$3:$C$125,"Short Video Design",Calculation!$E$3:$E$125,Calculation!A138)</f>
        <v>2</v>
      </c>
      <c r="Q40" s="121">
        <f>(Calculation!B136)</f>
        <v>312.5</v>
      </c>
      <c r="R40" s="122">
        <f t="shared" ref="R40:R44" si="1">product(P40,Q40)</f>
        <v>625</v>
      </c>
      <c r="S40" s="69"/>
      <c r="T40" s="70"/>
    </row>
    <row r="41">
      <c r="A41" s="52" t="str">
        <f>IF(Calculation!E40=Calculation!$A$138,Calculation!B40,"")</f>
        <v/>
      </c>
      <c r="B41" s="53" t="str">
        <f>IF(Calculation!E40=Calculation!$A$136,Calculation!I40,"")</f>
        <v/>
      </c>
      <c r="C41" s="52" t="str">
        <f>IF(Calculation!E40=Calculation!$A$138,Calculation!D40,"")</f>
        <v/>
      </c>
      <c r="D41" s="52" t="str">
        <f>IF(Calculation!E40=Calculation!$A$138,Calculation!C40,"")</f>
        <v/>
      </c>
      <c r="E41" s="52" t="str">
        <f>IF(Calculation!E40=Calculation!$A$138,Calculation!F40,"")</f>
        <v/>
      </c>
      <c r="F41" s="54" t="str">
        <f>IF(Calculation!E40=Calculation!$A$138,Calculation!G40,"")</f>
        <v/>
      </c>
      <c r="G41" s="54" t="str">
        <f>IF(Calculation!E40=Calculation!$A$138,Calculation!H40,"")</f>
        <v/>
      </c>
      <c r="H41" s="55"/>
      <c r="L41" s="89" t="s">
        <v>35</v>
      </c>
      <c r="P41" s="86">
        <f>SUMIFS(Calculation!$F$3:$F$125,Calculation!$C$3:$C$125,"Long Video Design",Calculation!$E$3:$E$125,Calculation!A138)</f>
        <v>0</v>
      </c>
      <c r="Q41" s="121">
        <f>(Calculation!C136)</f>
        <v>468.75</v>
      </c>
      <c r="R41" s="123">
        <f t="shared" si="1"/>
        <v>0</v>
      </c>
      <c r="S41" s="69"/>
      <c r="T41" s="70"/>
    </row>
    <row r="42">
      <c r="A42" s="52" t="str">
        <f>IF(Calculation!E41=Calculation!$A$138,Calculation!B41,"")</f>
        <v/>
      </c>
      <c r="B42" s="53" t="str">
        <f>IF(Calculation!E41=Calculation!$A$136,Calculation!I41,"")</f>
        <v/>
      </c>
      <c r="C42" s="52" t="str">
        <f>IF(Calculation!E41=Calculation!$A$138,Calculation!D41,"")</f>
        <v/>
      </c>
      <c r="D42" s="52" t="str">
        <f>IF(Calculation!E41=Calculation!$A$138,Calculation!C41,"")</f>
        <v/>
      </c>
      <c r="E42" s="52" t="str">
        <f>IF(Calculation!E41=Calculation!$A$138,Calculation!F41,"")</f>
        <v/>
      </c>
      <c r="F42" s="54" t="str">
        <f>IF(Calculation!E41=Calculation!$A$138,Calculation!G41,"")</f>
        <v/>
      </c>
      <c r="G42" s="54" t="str">
        <f>IF(Calculation!E41=Calculation!$A$138,Calculation!H41,"")</f>
        <v/>
      </c>
      <c r="H42" s="55"/>
      <c r="L42" s="91" t="s">
        <v>25</v>
      </c>
      <c r="P42" s="86">
        <f>SUMIFS(Calculation!$F$3:$F$125,Calculation!$C$3:$C$125,"Content for Poster",Calculation!$E$3:$E$125,Calculation!A138)</f>
        <v>0</v>
      </c>
      <c r="Q42" s="121">
        <f>(Calculation!D136)</f>
        <v>86</v>
      </c>
      <c r="R42" s="122">
        <f t="shared" si="1"/>
        <v>0</v>
      </c>
      <c r="S42" s="69"/>
      <c r="T42" s="70"/>
    </row>
    <row r="43">
      <c r="A43" s="52" t="str">
        <f>IF(Calculation!E42=Calculation!$A$138,Calculation!B42,"")</f>
        <v/>
      </c>
      <c r="B43" s="53" t="str">
        <f>IF(Calculation!E42=Calculation!$A$136,Calculation!I42,"")</f>
        <v/>
      </c>
      <c r="C43" s="52" t="str">
        <f>IF(Calculation!E42=Calculation!$A$138,Calculation!D42,"")</f>
        <v/>
      </c>
      <c r="D43" s="52" t="str">
        <f>IF(Calculation!E42=Calculation!$A$138,Calculation!C42,"")</f>
        <v/>
      </c>
      <c r="E43" s="52" t="str">
        <f>IF(Calculation!E42=Calculation!$A$138,Calculation!F42,"")</f>
        <v/>
      </c>
      <c r="F43" s="54" t="str">
        <f>IF(Calculation!E42=Calculation!$A$138,Calculation!G42,"")</f>
        <v/>
      </c>
      <c r="G43" s="54" t="str">
        <f>IF(Calculation!E42=Calculation!$A$138,Calculation!H42,"")</f>
        <v/>
      </c>
      <c r="H43" s="55"/>
      <c r="L43" s="92" t="s">
        <v>36</v>
      </c>
      <c r="P43" s="86">
        <f>SUMIFS(Calculation!$F$3:$F$125,Calculation!$C$3:$C$125,"Content for Video",Calculation!$E$3:$E$125,Calculation!A138)</f>
        <v>0</v>
      </c>
      <c r="Q43" s="121">
        <f>(Calculation!E136)</f>
        <v>156.25</v>
      </c>
      <c r="R43" s="123">
        <f t="shared" si="1"/>
        <v>0</v>
      </c>
      <c r="S43" s="69"/>
      <c r="T43" s="70"/>
    </row>
    <row r="44">
      <c r="A44" s="52" t="str">
        <f>IF(Calculation!E43=Calculation!$A$138,Calculation!B43,"")</f>
        <v/>
      </c>
      <c r="B44" s="53" t="str">
        <f>IF(Calculation!E43=Calculation!$A$136,Calculation!I43,"")</f>
        <v/>
      </c>
      <c r="C44" s="52" t="str">
        <f>IF(Calculation!E43=Calculation!$A$138,Calculation!D43,"")</f>
        <v/>
      </c>
      <c r="D44" s="52" t="str">
        <f>IF(Calculation!E43=Calculation!$A$138,Calculation!C43,"")</f>
        <v/>
      </c>
      <c r="E44" s="52" t="str">
        <f>IF(Calculation!E43=Calculation!$A$138,Calculation!F43,"")</f>
        <v/>
      </c>
      <c r="F44" s="54" t="str">
        <f>IF(Calculation!E43=Calculation!$A$138,Calculation!G43,"")</f>
        <v/>
      </c>
      <c r="G44" s="54" t="str">
        <f>IF(Calculation!E43=Calculation!$A$138,Calculation!H43,"")</f>
        <v/>
      </c>
      <c r="H44" s="55"/>
      <c r="L44" s="93" t="s">
        <v>16</v>
      </c>
      <c r="M44" s="93"/>
      <c r="N44" s="94"/>
      <c r="O44" s="94"/>
      <c r="P44" s="86">
        <f>SUMIFS(Calculation!$F$3:$F$125,Calculation!$C$3:$C$125,"Poster Design",Calculation!$E$3:$E$125,Calculation!A138)</f>
        <v>0</v>
      </c>
      <c r="Q44" s="124">
        <f>(Calculation!F136)</f>
        <v>140</v>
      </c>
      <c r="R44" s="125">
        <f t="shared" si="1"/>
        <v>0</v>
      </c>
      <c r="S44" s="69"/>
      <c r="T44" s="70"/>
    </row>
    <row r="45">
      <c r="A45" s="52" t="str">
        <f>IF(Calculation!E44=Calculation!$A$138,Calculation!B44,"")</f>
        <v/>
      </c>
      <c r="B45" s="53" t="str">
        <f>IF(Calculation!E44=Calculation!$A$136,Calculation!I44,"")</f>
        <v/>
      </c>
      <c r="C45" s="52" t="str">
        <f>IF(Calculation!E44=Calculation!$A$138,Calculation!D44,"")</f>
        <v/>
      </c>
      <c r="D45" s="52" t="str">
        <f>IF(Calculation!E44=Calculation!$A$138,Calculation!C44,"")</f>
        <v/>
      </c>
      <c r="E45" s="52" t="str">
        <f>IF(Calculation!E44=Calculation!$A$138,Calculation!F44,"")</f>
        <v/>
      </c>
      <c r="F45" s="54" t="str">
        <f>IF(Calculation!E44=Calculation!$A$138,Calculation!G44,"")</f>
        <v/>
      </c>
      <c r="G45" s="54" t="str">
        <f>IF(Calculation!E44=Calculation!$A$138,Calculation!H44,"")</f>
        <v/>
      </c>
      <c r="H45" s="55"/>
      <c r="L45" s="97" t="s">
        <v>71</v>
      </c>
      <c r="M45" s="97"/>
      <c r="N45" s="62"/>
      <c r="Q45" s="98" t="s">
        <v>72</v>
      </c>
      <c r="R45" s="99">
        <f>sum(R39:R44)</f>
        <v>1651</v>
      </c>
      <c r="S45" s="62"/>
      <c r="T45" s="64"/>
    </row>
    <row r="46">
      <c r="A46" s="52" t="str">
        <f>IF(Calculation!E45=Calculation!$A$138,Calculation!B45,"")</f>
        <v/>
      </c>
      <c r="B46" s="53" t="str">
        <f>IF(Calculation!E45=Calculation!$A$136,Calculation!I45,"")</f>
        <v/>
      </c>
      <c r="C46" s="52" t="str">
        <f>IF(Calculation!E45=Calculation!$A$138,Calculation!D45,"")</f>
        <v/>
      </c>
      <c r="D46" s="52" t="str">
        <f>IF(Calculation!E45=Calculation!$A$138,Calculation!C45,"")</f>
        <v/>
      </c>
      <c r="E46" s="52" t="str">
        <f>IF(Calculation!E45=Calculation!$A$138,Calculation!F45,"")</f>
        <v/>
      </c>
      <c r="F46" s="54" t="str">
        <f>IF(Calculation!E45=Calculation!$A$138,Calculation!G45,"")</f>
        <v/>
      </c>
      <c r="G46" s="54" t="str">
        <f>IF(Calculation!E45=Calculation!$A$138,Calculation!H45,"")</f>
        <v/>
      </c>
      <c r="H46" s="55"/>
      <c r="L46" s="62"/>
      <c r="M46" s="62"/>
      <c r="N46" s="62"/>
      <c r="Q46" s="98" t="s">
        <v>73</v>
      </c>
      <c r="R46" s="100">
        <v>0.0</v>
      </c>
      <c r="S46" s="62"/>
      <c r="T46" s="64"/>
    </row>
    <row r="47">
      <c r="A47" s="52" t="str">
        <f>IF(Calculation!E46=Calculation!$A$138,Calculation!B46,"")</f>
        <v/>
      </c>
      <c r="B47" s="53" t="str">
        <f>IF(Calculation!E46=Calculation!$A$136,Calculation!I46,"")</f>
        <v/>
      </c>
      <c r="C47" s="52" t="str">
        <f>IF(Calculation!E46=Calculation!$A$138,Calculation!D46,"")</f>
        <v/>
      </c>
      <c r="D47" s="52" t="str">
        <f>IF(Calculation!E46=Calculation!$A$138,Calculation!C46,"")</f>
        <v/>
      </c>
      <c r="E47" s="52" t="str">
        <f>IF(Calculation!E46=Calculation!$A$138,Calculation!F46,"")</f>
        <v/>
      </c>
      <c r="F47" s="54" t="str">
        <f>IF(Calculation!E46=Calculation!$A$138,Calculation!G46,"")</f>
        <v/>
      </c>
      <c r="G47" s="54" t="str">
        <f>IF(Calculation!E46=Calculation!$A$138,Calculation!H46,"")</f>
        <v/>
      </c>
      <c r="H47" s="55"/>
      <c r="L47" s="69"/>
      <c r="M47" s="69"/>
      <c r="N47" s="69"/>
      <c r="O47" s="69"/>
      <c r="P47" s="69"/>
      <c r="Q47" s="101">
        <f>sum(R45,R46)</f>
        <v>1651</v>
      </c>
      <c r="S47" s="69"/>
      <c r="T47" s="70"/>
    </row>
    <row r="48">
      <c r="A48" s="52" t="str">
        <f>IF(Calculation!E47=Calculation!$A$138,Calculation!B47,"")</f>
        <v/>
      </c>
      <c r="B48" s="53" t="str">
        <f>IF(Calculation!E47=Calculation!$A$136,Calculation!I47,"")</f>
        <v/>
      </c>
      <c r="C48" s="52" t="str">
        <f>IF(Calculation!E47=Calculation!$A$138,Calculation!D47,"")</f>
        <v/>
      </c>
      <c r="D48" s="52" t="str">
        <f>IF(Calculation!E47=Calculation!$A$138,Calculation!C47,"")</f>
        <v/>
      </c>
      <c r="E48" s="52" t="str">
        <f>IF(Calculation!E47=Calculation!$A$138,Calculation!F47,"")</f>
        <v/>
      </c>
      <c r="F48" s="54" t="str">
        <f>IF(Calculation!E47=Calculation!$A$138,Calculation!G47,"")</f>
        <v/>
      </c>
      <c r="G48" s="54" t="str">
        <f>IF(Calculation!E47=Calculation!$A$138,Calculation!H47,"")</f>
        <v/>
      </c>
      <c r="H48" s="55"/>
      <c r="L48" s="102"/>
      <c r="M48" s="102"/>
      <c r="N48" s="69"/>
      <c r="O48" s="69"/>
      <c r="P48" s="69"/>
      <c r="Q48" s="69"/>
      <c r="R48" s="69"/>
      <c r="S48" s="69"/>
      <c r="T48" s="70"/>
    </row>
    <row r="49">
      <c r="A49" s="52" t="str">
        <f>IF(Calculation!E48=Calculation!$A$138,Calculation!B48,"")</f>
        <v/>
      </c>
      <c r="B49" s="53" t="str">
        <f>IF(Calculation!E48=Calculation!$A$136,Calculation!I48,"")</f>
        <v/>
      </c>
      <c r="C49" s="52" t="str">
        <f>IF(Calculation!E48=Calculation!$A$138,Calculation!D48,"")</f>
        <v/>
      </c>
      <c r="D49" s="52" t="str">
        <f>IF(Calculation!E48=Calculation!$A$138,Calculation!C48,"")</f>
        <v/>
      </c>
      <c r="E49" s="52" t="str">
        <f>IF(Calculation!E48=Calculation!$A$138,Calculation!F48,"")</f>
        <v/>
      </c>
      <c r="F49" s="54" t="str">
        <f>IF(Calculation!E48=Calculation!$A$138,Calculation!G48,"")</f>
        <v/>
      </c>
      <c r="G49" s="54" t="str">
        <f>IF(Calculation!E48=Calculation!$A$138,Calculation!H48,"")</f>
        <v/>
      </c>
      <c r="H49" s="55"/>
      <c r="T49" s="103"/>
    </row>
    <row r="50">
      <c r="A50" s="52" t="str">
        <f>IF(Calculation!E49=Calculation!$A$138,Calculation!B49,"")</f>
        <v/>
      </c>
      <c r="B50" s="53" t="str">
        <f>IF(Calculation!E49=Calculation!$A$136,Calculation!I49,"")</f>
        <v/>
      </c>
      <c r="C50" s="52" t="str">
        <f>IF(Calculation!E49=Calculation!$A$138,Calculation!D49,"")</f>
        <v/>
      </c>
      <c r="D50" s="52" t="str">
        <f>IF(Calculation!E49=Calculation!$A$138,Calculation!C49,"")</f>
        <v/>
      </c>
      <c r="E50" s="52" t="str">
        <f>IF(Calculation!E49=Calculation!$A$138,Calculation!F49,"")</f>
        <v/>
      </c>
      <c r="F50" s="54" t="str">
        <f>IF(Calculation!E49=Calculation!$A$138,Calculation!G49,"")</f>
        <v/>
      </c>
      <c r="G50" s="54" t="str">
        <f>IF(Calculation!E49=Calculation!$A$138,Calculation!H49,"")</f>
        <v/>
      </c>
      <c r="H50" s="55"/>
      <c r="T50" s="103"/>
    </row>
    <row r="51">
      <c r="A51" s="52" t="str">
        <f>IF(Calculation!E50=Calculation!$A$138,Calculation!B50,"")</f>
        <v/>
      </c>
      <c r="B51" s="53" t="str">
        <f>IF(Calculation!E50=Calculation!$A$136,Calculation!I50,"")</f>
        <v/>
      </c>
      <c r="C51" s="52" t="str">
        <f>IF(Calculation!E50=Calculation!$A$138,Calculation!D50,"")</f>
        <v/>
      </c>
      <c r="D51" s="52" t="str">
        <f>IF(Calculation!E50=Calculation!$A$138,Calculation!C50,"")</f>
        <v/>
      </c>
      <c r="E51" s="52" t="str">
        <f>IF(Calculation!E50=Calculation!$A$138,Calculation!F50,"")</f>
        <v/>
      </c>
      <c r="F51" s="54" t="str">
        <f>IF(Calculation!E50=Calculation!$A$138,Calculation!G50,"")</f>
        <v/>
      </c>
      <c r="G51" s="54" t="str">
        <f>IF(Calculation!E50=Calculation!$A$138,Calculation!H50,"")</f>
        <v/>
      </c>
      <c r="H51" s="55"/>
      <c r="T51" s="103"/>
    </row>
    <row r="52">
      <c r="A52" s="52" t="str">
        <f>IF(Calculation!E51=Calculation!$A$138,Calculation!B51,"")</f>
        <v/>
      </c>
      <c r="B52" s="53" t="str">
        <f>IF(Calculation!E51=Calculation!$A$136,Calculation!I51,"")</f>
        <v/>
      </c>
      <c r="C52" s="52" t="str">
        <f>IF(Calculation!E51=Calculation!$A$138,Calculation!D51,"")</f>
        <v/>
      </c>
      <c r="D52" s="52" t="str">
        <f>IF(Calculation!E51=Calculation!$A$138,Calculation!C51,"")</f>
        <v/>
      </c>
      <c r="E52" s="52" t="str">
        <f>IF(Calculation!E51=Calculation!$A$138,Calculation!F51,"")</f>
        <v/>
      </c>
      <c r="F52" s="54" t="str">
        <f>IF(Calculation!E51=Calculation!$A$138,Calculation!G51,"")</f>
        <v/>
      </c>
      <c r="G52" s="54" t="str">
        <f>IF(Calculation!E51=Calculation!$A$138,Calculation!H51,"")</f>
        <v/>
      </c>
      <c r="H52" s="55"/>
      <c r="T52" s="103"/>
    </row>
    <row r="53">
      <c r="A53" s="52" t="str">
        <f>IF(Calculation!E52=Calculation!$A$138,Calculation!B52,"")</f>
        <v/>
      </c>
      <c r="B53" s="53" t="str">
        <f>IF(Calculation!E52=Calculation!$A$136,Calculation!I52,"")</f>
        <v/>
      </c>
      <c r="C53" s="52" t="str">
        <f>IF(Calculation!E52=Calculation!$A$138,Calculation!D52,"")</f>
        <v/>
      </c>
      <c r="D53" s="52" t="str">
        <f>IF(Calculation!E52=Calculation!$A$138,Calculation!C52,"")</f>
        <v/>
      </c>
      <c r="E53" s="52" t="str">
        <f>IF(Calculation!E52=Calculation!$A$138,Calculation!F52,"")</f>
        <v/>
      </c>
      <c r="F53" s="54" t="str">
        <f>IF(Calculation!E52=Calculation!$A$138,Calculation!G52,"")</f>
        <v/>
      </c>
      <c r="G53" s="54" t="str">
        <f>IF(Calculation!E52=Calculation!$A$138,Calculation!H52,"")</f>
        <v/>
      </c>
      <c r="H53" s="55"/>
      <c r="T53" s="103"/>
    </row>
    <row r="54">
      <c r="A54" s="52" t="str">
        <f>IF(Calculation!E53=Calculation!$A$138,Calculation!B53,"")</f>
        <v/>
      </c>
      <c r="B54" s="53" t="str">
        <f>IF(Calculation!E53=Calculation!$A$136,Calculation!I53,"")</f>
        <v/>
      </c>
      <c r="C54" s="52" t="str">
        <f>IF(Calculation!E53=Calculation!$A$138,Calculation!D53,"")</f>
        <v/>
      </c>
      <c r="D54" s="52" t="str">
        <f>IF(Calculation!E53=Calculation!$A$138,Calculation!C53,"")</f>
        <v/>
      </c>
      <c r="E54" s="52" t="str">
        <f>IF(Calculation!E53=Calculation!$A$138,Calculation!F53,"")</f>
        <v/>
      </c>
      <c r="F54" s="54" t="str">
        <f>IF(Calculation!E53=Calculation!$A$138,Calculation!G53,"")</f>
        <v/>
      </c>
      <c r="G54" s="54" t="str">
        <f>IF(Calculation!E53=Calculation!$A$138,Calculation!H53,"")</f>
        <v/>
      </c>
      <c r="H54" s="55"/>
      <c r="T54" s="103"/>
    </row>
    <row r="55">
      <c r="A55" s="52" t="str">
        <f>IF(Calculation!E54=Calculation!$A$138,Calculation!B54,"")</f>
        <v/>
      </c>
      <c r="B55" s="53" t="str">
        <f>IF(Calculation!E54=Calculation!$A$136,Calculation!I54,"")</f>
        <v/>
      </c>
      <c r="C55" s="52" t="str">
        <f>IF(Calculation!E54=Calculation!$A$138,Calculation!D54,"")</f>
        <v/>
      </c>
      <c r="D55" s="52" t="str">
        <f>IF(Calculation!E54=Calculation!$A$138,Calculation!C54,"")</f>
        <v/>
      </c>
      <c r="E55" s="52" t="str">
        <f>IF(Calculation!E54=Calculation!$A$138,Calculation!F54,"")</f>
        <v/>
      </c>
      <c r="F55" s="54" t="str">
        <f>IF(Calculation!E54=Calculation!$A$138,Calculation!G54,"")</f>
        <v/>
      </c>
      <c r="G55" s="54" t="str">
        <f>IF(Calculation!E54=Calculation!$A$138,Calculation!H54,"")</f>
        <v/>
      </c>
      <c r="H55" s="55"/>
      <c r="T55" s="103"/>
    </row>
    <row r="56">
      <c r="A56" s="52" t="str">
        <f>IF(Calculation!E55=Calculation!$A$138,Calculation!B55,"")</f>
        <v/>
      </c>
      <c r="B56" s="53" t="str">
        <f>IF(Calculation!E55=Calculation!$A$136,Calculation!I55,"")</f>
        <v/>
      </c>
      <c r="C56" s="52" t="str">
        <f>IF(Calculation!E55=Calculation!$A$138,Calculation!D55,"")</f>
        <v/>
      </c>
      <c r="D56" s="52" t="str">
        <f>IF(Calculation!E55=Calculation!$A$138,Calculation!C55,"")</f>
        <v/>
      </c>
      <c r="E56" s="52" t="str">
        <f>IF(Calculation!E55=Calculation!$A$138,Calculation!F55,"")</f>
        <v/>
      </c>
      <c r="F56" s="54" t="str">
        <f>IF(Calculation!E55=Calculation!$A$138,Calculation!G55,"")</f>
        <v/>
      </c>
      <c r="G56" s="54" t="str">
        <f>IF(Calculation!E55=Calculation!$A$138,Calculation!H55,"")</f>
        <v/>
      </c>
      <c r="H56" s="55"/>
      <c r="T56" s="103"/>
    </row>
    <row r="57">
      <c r="A57" s="52" t="str">
        <f>IF(Calculation!E56=Calculation!$A$138,Calculation!B56,"")</f>
        <v/>
      </c>
      <c r="B57" s="53" t="str">
        <f>IF(Calculation!E56=Calculation!$A$136,Calculation!I56,"")</f>
        <v/>
      </c>
      <c r="C57" s="52" t="str">
        <f>IF(Calculation!E56=Calculation!$A$138,Calculation!D56,"")</f>
        <v/>
      </c>
      <c r="D57" s="52" t="str">
        <f>IF(Calculation!E56=Calculation!$A$138,Calculation!C56,"")</f>
        <v/>
      </c>
      <c r="E57" s="52" t="str">
        <f>IF(Calculation!E56=Calculation!$A$138,Calculation!F56,"")</f>
        <v/>
      </c>
      <c r="F57" s="54" t="str">
        <f>IF(Calculation!E56=Calculation!$A$138,Calculation!G56,"")</f>
        <v/>
      </c>
      <c r="G57" s="54" t="str">
        <f>IF(Calculation!E56=Calculation!$A$138,Calculation!H56,"")</f>
        <v/>
      </c>
      <c r="H57" s="55"/>
      <c r="T57" s="103"/>
    </row>
    <row r="58">
      <c r="A58" s="52" t="str">
        <f>IF(Calculation!E57=Calculation!$A$138,Calculation!B57,"")</f>
        <v/>
      </c>
      <c r="B58" s="53" t="str">
        <f>IF(Calculation!E57=Calculation!$A$136,Calculation!I57,"")</f>
        <v/>
      </c>
      <c r="C58" s="52" t="str">
        <f>IF(Calculation!E57=Calculation!$A$138,Calculation!D57,"")</f>
        <v/>
      </c>
      <c r="D58" s="52" t="str">
        <f>IF(Calculation!E57=Calculation!$A$138,Calculation!C57,"")</f>
        <v/>
      </c>
      <c r="E58" s="52" t="str">
        <f>IF(Calculation!E57=Calculation!$A$138,Calculation!F57,"")</f>
        <v/>
      </c>
      <c r="F58" s="54" t="str">
        <f>IF(Calculation!E57=Calculation!$A$138,Calculation!G57,"")</f>
        <v/>
      </c>
      <c r="G58" s="54" t="str">
        <f>IF(Calculation!E57=Calculation!$A$138,Calculation!H57,"")</f>
        <v/>
      </c>
      <c r="H58" s="55"/>
      <c r="T58" s="103"/>
    </row>
    <row r="59">
      <c r="A59" s="52" t="str">
        <f>IF(Calculation!E58=Calculation!$A$138,Calculation!B58,"")</f>
        <v/>
      </c>
      <c r="B59" s="53" t="str">
        <f>IF(Calculation!E58=Calculation!$A$136,Calculation!I58,"")</f>
        <v/>
      </c>
      <c r="C59" s="52" t="str">
        <f>IF(Calculation!E58=Calculation!$A$138,Calculation!D58,"")</f>
        <v/>
      </c>
      <c r="D59" s="52" t="str">
        <f>IF(Calculation!E58=Calculation!$A$138,Calculation!C58,"")</f>
        <v/>
      </c>
      <c r="E59" s="52" t="str">
        <f>IF(Calculation!E58=Calculation!$A$138,Calculation!F58,"")</f>
        <v/>
      </c>
      <c r="F59" s="54" t="str">
        <f>IF(Calculation!E58=Calculation!$A$138,Calculation!G58,"")</f>
        <v/>
      </c>
      <c r="G59" s="54" t="str">
        <f>IF(Calculation!E58=Calculation!$A$138,Calculation!H58,"")</f>
        <v/>
      </c>
      <c r="H59" s="55"/>
      <c r="T59" s="103"/>
    </row>
    <row r="60">
      <c r="A60" s="52" t="str">
        <f>IF(Calculation!E59=Calculation!$A$138,Calculation!B59,"")</f>
        <v/>
      </c>
      <c r="B60" s="53" t="str">
        <f>IF(Calculation!E59=Calculation!$A$136,Calculation!I59,"")</f>
        <v/>
      </c>
      <c r="C60" s="52" t="str">
        <f>IF(Calculation!E59=Calculation!$A$138,Calculation!D59,"")</f>
        <v/>
      </c>
      <c r="D60" s="52" t="str">
        <f>IF(Calculation!E59=Calculation!$A$138,Calculation!C59,"")</f>
        <v/>
      </c>
      <c r="E60" s="52" t="str">
        <f>IF(Calculation!E59=Calculation!$A$138,Calculation!F59,"")</f>
        <v/>
      </c>
      <c r="F60" s="54" t="str">
        <f>IF(Calculation!E59=Calculation!$A$138,Calculation!G59,"")</f>
        <v/>
      </c>
      <c r="G60" s="54" t="str">
        <f>IF(Calculation!E59=Calculation!$A$138,Calculation!H59,"")</f>
        <v/>
      </c>
      <c r="H60" s="55"/>
      <c r="T60" s="103"/>
    </row>
    <row r="61">
      <c r="A61" s="52" t="str">
        <f>IF(Calculation!E60=Calculation!$A$138,Calculation!B60,"")</f>
        <v/>
      </c>
      <c r="B61" s="53" t="str">
        <f>IF(Calculation!E60=Calculation!$A$136,Calculation!I60,"")</f>
        <v/>
      </c>
      <c r="C61" s="52" t="str">
        <f>IF(Calculation!E60=Calculation!$A$138,Calculation!D60,"")</f>
        <v/>
      </c>
      <c r="D61" s="52" t="str">
        <f>IF(Calculation!E60=Calculation!$A$138,Calculation!C60,"")</f>
        <v/>
      </c>
      <c r="E61" s="52" t="str">
        <f>IF(Calculation!E60=Calculation!$A$138,Calculation!F60,"")</f>
        <v/>
      </c>
      <c r="F61" s="54" t="str">
        <f>IF(Calculation!E60=Calculation!$A$138,Calculation!G60,"")</f>
        <v/>
      </c>
      <c r="G61" s="54" t="str">
        <f>IF(Calculation!E60=Calculation!$A$138,Calculation!H60,"")</f>
        <v/>
      </c>
      <c r="H61" s="55"/>
      <c r="L61" s="104"/>
      <c r="M61" s="104"/>
      <c r="N61" s="104"/>
      <c r="O61" s="104"/>
      <c r="P61" s="104"/>
      <c r="Q61" s="104"/>
      <c r="R61" s="104"/>
      <c r="S61" s="104"/>
      <c r="T61" s="105"/>
    </row>
    <row r="62">
      <c r="A62" s="52" t="str">
        <f>IF(Calculation!E61=Calculation!$A$138,Calculation!B61,"")</f>
        <v/>
      </c>
      <c r="B62" s="53" t="str">
        <f>IF(Calculation!E61=Calculation!$A$136,Calculation!I61,"")</f>
        <v/>
      </c>
      <c r="C62" s="52" t="str">
        <f>IF(Calculation!E61=Calculation!$A$138,Calculation!D61,"")</f>
        <v/>
      </c>
      <c r="D62" s="52" t="str">
        <f>IF(Calculation!E61=Calculation!$A$138,Calculation!C61,"")</f>
        <v/>
      </c>
      <c r="E62" s="52" t="str">
        <f>IF(Calculation!E61=Calculation!$A$138,Calculation!F61,"")</f>
        <v/>
      </c>
      <c r="F62" s="54" t="str">
        <f>IF(Calculation!E61=Calculation!$A$138,Calculation!G61,"")</f>
        <v/>
      </c>
      <c r="G62" s="54" t="str">
        <f>IF(Calculation!E61=Calculation!$A$138,Calculation!H61,"")</f>
        <v/>
      </c>
      <c r="H62" s="55"/>
    </row>
    <row r="63">
      <c r="A63" s="52" t="str">
        <f>IF(Calculation!E62=Calculation!$A$138,Calculation!B62,"")</f>
        <v/>
      </c>
      <c r="B63" s="53" t="str">
        <f>IF(Calculation!E62=Calculation!$A$136,Calculation!I62,"")</f>
        <v/>
      </c>
      <c r="C63" s="52" t="str">
        <f>IF(Calculation!E62=Calculation!$A$138,Calculation!D62,"")</f>
        <v/>
      </c>
      <c r="D63" s="52" t="str">
        <f>IF(Calculation!E62=Calculation!$A$138,Calculation!C62,"")</f>
        <v/>
      </c>
      <c r="E63" s="52" t="str">
        <f>IF(Calculation!E62=Calculation!$A$138,Calculation!F62,"")</f>
        <v/>
      </c>
      <c r="F63" s="54" t="str">
        <f>IF(Calculation!E62=Calculation!$A$138,Calculation!G62,"")</f>
        <v/>
      </c>
      <c r="G63" s="54" t="str">
        <f>IF(Calculation!E62=Calculation!$A$138,Calculation!H62,"")</f>
        <v/>
      </c>
      <c r="H63" s="55"/>
    </row>
    <row r="64">
      <c r="A64" s="52" t="str">
        <f>IF(Calculation!E63=Calculation!$A$138,Calculation!B63,"")</f>
        <v/>
      </c>
      <c r="B64" s="53" t="str">
        <f>IF(Calculation!E63=Calculation!$A$136,Calculation!I63,"")</f>
        <v/>
      </c>
      <c r="C64" s="52" t="str">
        <f>IF(Calculation!E63=Calculation!$A$138,Calculation!D63,"")</f>
        <v/>
      </c>
      <c r="D64" s="52" t="str">
        <f>IF(Calculation!E63=Calculation!$A$138,Calculation!C63,"")</f>
        <v/>
      </c>
      <c r="E64" s="52" t="str">
        <f>IF(Calculation!E63=Calculation!$A$138,Calculation!F63,"")</f>
        <v/>
      </c>
      <c r="F64" s="54" t="str">
        <f>IF(Calculation!E63=Calculation!$A$138,Calculation!G63,"")</f>
        <v/>
      </c>
      <c r="G64" s="54" t="str">
        <f>IF(Calculation!E63=Calculation!$A$138,Calculation!H63,"")</f>
        <v/>
      </c>
      <c r="H64" s="55"/>
    </row>
    <row r="65">
      <c r="A65" s="52" t="str">
        <f>IF(Calculation!E64=Calculation!$A$138,Calculation!B64,"")</f>
        <v/>
      </c>
      <c r="B65" s="53" t="str">
        <f>IF(Calculation!E64=Calculation!$A$136,Calculation!I64,"")</f>
        <v/>
      </c>
      <c r="C65" s="52" t="str">
        <f>IF(Calculation!E64=Calculation!$A$138,Calculation!D64,"")</f>
        <v/>
      </c>
      <c r="D65" s="52" t="str">
        <f>IF(Calculation!E64=Calculation!$A$138,Calculation!C64,"")</f>
        <v/>
      </c>
      <c r="E65" s="52" t="str">
        <f>IF(Calculation!E64=Calculation!$A$138,Calculation!F64,"")</f>
        <v/>
      </c>
      <c r="F65" s="54" t="str">
        <f>IF(Calculation!E64=Calculation!$A$138,Calculation!G64,"")</f>
        <v/>
      </c>
      <c r="G65" s="54" t="str">
        <f>IF(Calculation!E64=Calculation!$A$138,Calculation!H64,"")</f>
        <v/>
      </c>
      <c r="H65" s="55"/>
    </row>
    <row r="66">
      <c r="A66" s="52" t="str">
        <f>IF(Calculation!E65=Calculation!$A$138,Calculation!B65,"")</f>
        <v/>
      </c>
      <c r="B66" s="53" t="str">
        <f>IF(Calculation!E65=Calculation!$A$136,Calculation!I65,"")</f>
        <v/>
      </c>
      <c r="C66" s="52" t="str">
        <f>IF(Calculation!E65=Calculation!$A$138,Calculation!D65,"")</f>
        <v/>
      </c>
      <c r="D66" s="52" t="str">
        <f>IF(Calculation!E65=Calculation!$A$138,Calculation!C65,"")</f>
        <v/>
      </c>
      <c r="E66" s="52" t="str">
        <f>IF(Calculation!E65=Calculation!$A$138,Calculation!F65,"")</f>
        <v/>
      </c>
      <c r="F66" s="54" t="str">
        <f>IF(Calculation!E65=Calculation!$A$138,Calculation!G65,"")</f>
        <v/>
      </c>
      <c r="G66" s="54" t="str">
        <f>IF(Calculation!E65=Calculation!$A$138,Calculation!H65,"")</f>
        <v/>
      </c>
      <c r="H66" s="55"/>
    </row>
    <row r="67">
      <c r="A67" s="52" t="str">
        <f>IF(Calculation!E66=Calculation!$A$138,Calculation!B66,"")</f>
        <v/>
      </c>
      <c r="B67" s="53" t="str">
        <f>IF(Calculation!E66=Calculation!$A$136,Calculation!I66,"")</f>
        <v/>
      </c>
      <c r="C67" s="52" t="str">
        <f>IF(Calculation!E66=Calculation!$A$138,Calculation!D66,"")</f>
        <v/>
      </c>
      <c r="D67" s="52" t="str">
        <f>IF(Calculation!E66=Calculation!$A$138,Calculation!C66,"")</f>
        <v/>
      </c>
      <c r="E67" s="52" t="str">
        <f>IF(Calculation!E66=Calculation!$A$138,Calculation!F66,"")</f>
        <v/>
      </c>
      <c r="F67" s="54" t="str">
        <f>IF(Calculation!E66=Calculation!$A$138,Calculation!G66,"")</f>
        <v/>
      </c>
      <c r="G67" s="54" t="str">
        <f>IF(Calculation!E66=Calculation!$A$138,Calculation!H66,"")</f>
        <v/>
      </c>
      <c r="H67" s="55"/>
    </row>
    <row r="68">
      <c r="A68" s="52" t="str">
        <f>IF(Calculation!E67=Calculation!$A$138,Calculation!B67,"")</f>
        <v/>
      </c>
      <c r="B68" s="53" t="str">
        <f>IF(Calculation!E67=Calculation!$A$136,Calculation!I67,"")</f>
        <v/>
      </c>
      <c r="C68" s="52" t="str">
        <f>IF(Calculation!E67=Calculation!$A$138,Calculation!D67,"")</f>
        <v/>
      </c>
      <c r="D68" s="52" t="str">
        <f>IF(Calculation!E67=Calculation!$A$138,Calculation!C67,"")</f>
        <v/>
      </c>
      <c r="E68" s="52" t="str">
        <f>IF(Calculation!E67=Calculation!$A$138,Calculation!F67,"")</f>
        <v/>
      </c>
      <c r="F68" s="54" t="str">
        <f>IF(Calculation!E67=Calculation!$A$138,Calculation!G67,"")</f>
        <v/>
      </c>
      <c r="G68" s="54" t="str">
        <f>IF(Calculation!E67=Calculation!$A$138,Calculation!H67,"")</f>
        <v/>
      </c>
      <c r="H68" s="55"/>
    </row>
    <row r="69">
      <c r="A69" s="52" t="str">
        <f>IF(Calculation!E68=Calculation!$A$138,Calculation!B68,"")</f>
        <v/>
      </c>
      <c r="B69" s="53" t="str">
        <f>IF(Calculation!E68=Calculation!$A$136,Calculation!I68,"")</f>
        <v/>
      </c>
      <c r="C69" s="52" t="str">
        <f>IF(Calculation!E68=Calculation!$A$138,Calculation!D68,"")</f>
        <v/>
      </c>
      <c r="D69" s="52" t="str">
        <f>IF(Calculation!E68=Calculation!$A$138,Calculation!C68,"")</f>
        <v/>
      </c>
      <c r="E69" s="52" t="str">
        <f>IF(Calculation!E68=Calculation!$A$138,Calculation!F68,"")</f>
        <v/>
      </c>
      <c r="F69" s="54" t="str">
        <f>IF(Calculation!E68=Calculation!$A$138,Calculation!G68,"")</f>
        <v/>
      </c>
      <c r="G69" s="54" t="str">
        <f>IF(Calculation!E68=Calculation!$A$138,Calculation!H68,"")</f>
        <v/>
      </c>
      <c r="H69" s="55"/>
    </row>
    <row r="70">
      <c r="A70" s="52" t="str">
        <f>IF(Calculation!E69=Calculation!$A$138,Calculation!B69,"")</f>
        <v/>
      </c>
      <c r="B70" s="53" t="str">
        <f>IF(Calculation!E69=Calculation!$A$136,Calculation!I69,"")</f>
        <v/>
      </c>
      <c r="C70" s="52" t="str">
        <f>IF(Calculation!E69=Calculation!$A$138,Calculation!D69,"")</f>
        <v/>
      </c>
      <c r="D70" s="52" t="str">
        <f>IF(Calculation!E69=Calculation!$A$138,Calculation!C69,"")</f>
        <v/>
      </c>
      <c r="E70" s="52" t="str">
        <f>IF(Calculation!E69=Calculation!$A$138,Calculation!F69,"")</f>
        <v/>
      </c>
      <c r="F70" s="54" t="str">
        <f>IF(Calculation!E69=Calculation!$A$138,Calculation!G69,"")</f>
        <v/>
      </c>
      <c r="G70" s="54" t="str">
        <f>IF(Calculation!E69=Calculation!$A$138,Calculation!H69,"")</f>
        <v/>
      </c>
      <c r="H70" s="55"/>
    </row>
    <row r="71">
      <c r="A71" s="52" t="str">
        <f>IF(Calculation!E70=Calculation!$A$138,Calculation!B70,"")</f>
        <v/>
      </c>
      <c r="B71" s="53" t="str">
        <f>IF(Calculation!E70=Calculation!$A$136,Calculation!I70,"")</f>
        <v/>
      </c>
      <c r="C71" s="52" t="str">
        <f>IF(Calculation!E70=Calculation!$A$138,Calculation!D70,"")</f>
        <v/>
      </c>
      <c r="D71" s="52" t="str">
        <f>IF(Calculation!E70=Calculation!$A$138,Calculation!C70,"")</f>
        <v/>
      </c>
      <c r="E71" s="52" t="str">
        <f>IF(Calculation!E70=Calculation!$A$138,Calculation!F70,"")</f>
        <v/>
      </c>
      <c r="F71" s="54" t="str">
        <f>IF(Calculation!E70=Calculation!$A$138,Calculation!G70,"")</f>
        <v/>
      </c>
      <c r="G71" s="54" t="str">
        <f>IF(Calculation!E70=Calculation!$A$138,Calculation!H70,"")</f>
        <v/>
      </c>
      <c r="H71" s="55"/>
    </row>
    <row r="72">
      <c r="A72" s="52" t="str">
        <f>IF(Calculation!E71=Calculation!$A$138,Calculation!B71,"")</f>
        <v/>
      </c>
      <c r="B72" s="53" t="str">
        <f>IF(Calculation!E71=Calculation!$A$136,Calculation!I71,"")</f>
        <v/>
      </c>
      <c r="C72" s="52" t="str">
        <f>IF(Calculation!E71=Calculation!$A$138,Calculation!D71,"")</f>
        <v/>
      </c>
      <c r="D72" s="52" t="str">
        <f>IF(Calculation!E71=Calculation!$A$138,Calculation!C71,"")</f>
        <v/>
      </c>
      <c r="E72" s="52" t="str">
        <f>IF(Calculation!E71=Calculation!$A$138,Calculation!F71,"")</f>
        <v/>
      </c>
      <c r="F72" s="54" t="str">
        <f>IF(Calculation!E71=Calculation!$A$138,Calculation!G71,"")</f>
        <v/>
      </c>
      <c r="G72" s="54" t="str">
        <f>IF(Calculation!E71=Calculation!$A$138,Calculation!H71,"")</f>
        <v/>
      </c>
      <c r="H72" s="55"/>
    </row>
    <row r="73">
      <c r="A73" s="52" t="str">
        <f>IF(Calculation!E72=Calculation!$A$138,Calculation!B72,"")</f>
        <v/>
      </c>
      <c r="B73" s="53" t="str">
        <f>IF(Calculation!E72=Calculation!$A$136,Calculation!I72,"")</f>
        <v/>
      </c>
      <c r="C73" s="52" t="str">
        <f>IF(Calculation!E72=Calculation!$A$138,Calculation!D72,"")</f>
        <v/>
      </c>
      <c r="D73" s="52" t="str">
        <f>IF(Calculation!E72=Calculation!$A$138,Calculation!C72,"")</f>
        <v/>
      </c>
      <c r="E73" s="52" t="str">
        <f>IF(Calculation!E72=Calculation!$A$138,Calculation!F72,"")</f>
        <v/>
      </c>
      <c r="F73" s="54" t="str">
        <f>IF(Calculation!E72=Calculation!$A$138,Calculation!G72,"")</f>
        <v/>
      </c>
      <c r="G73" s="54" t="str">
        <f>IF(Calculation!E72=Calculation!$A$138,Calculation!H72,"")</f>
        <v/>
      </c>
      <c r="H73" s="55"/>
    </row>
    <row r="74">
      <c r="A74" s="52" t="str">
        <f>IF(Calculation!E73=Calculation!$A$138,Calculation!B73,"")</f>
        <v/>
      </c>
      <c r="B74" s="53" t="str">
        <f>IF(Calculation!E73=Calculation!$A$136,Calculation!I73,"")</f>
        <v/>
      </c>
      <c r="C74" s="52" t="str">
        <f>IF(Calculation!E73=Calculation!$A$138,Calculation!D73,"")</f>
        <v/>
      </c>
      <c r="D74" s="52" t="str">
        <f>IF(Calculation!E73=Calculation!$A$138,Calculation!C73,"")</f>
        <v/>
      </c>
      <c r="E74" s="52" t="str">
        <f>IF(Calculation!E73=Calculation!$A$138,Calculation!F73,"")</f>
        <v/>
      </c>
      <c r="F74" s="54" t="str">
        <f>IF(Calculation!E73=Calculation!$A$138,Calculation!G73,"")</f>
        <v/>
      </c>
      <c r="G74" s="54" t="str">
        <f>IF(Calculation!E73=Calculation!$A$138,Calculation!H73,"")</f>
        <v/>
      </c>
      <c r="H74" s="55"/>
    </row>
    <row r="75">
      <c r="A75" s="52" t="str">
        <f>IF(Calculation!E74=Calculation!$A$138,Calculation!B74,"")</f>
        <v/>
      </c>
      <c r="B75" s="53" t="str">
        <f>IF(Calculation!E74=Calculation!$A$136,Calculation!I74,"")</f>
        <v/>
      </c>
      <c r="C75" s="52" t="str">
        <f>IF(Calculation!E74=Calculation!$A$138,Calculation!D74,"")</f>
        <v/>
      </c>
      <c r="D75" s="52" t="str">
        <f>IF(Calculation!E74=Calculation!$A$138,Calculation!C74,"")</f>
        <v/>
      </c>
      <c r="E75" s="52" t="str">
        <f>IF(Calculation!E74=Calculation!$A$138,Calculation!F74,"")</f>
        <v/>
      </c>
      <c r="F75" s="54" t="str">
        <f>IF(Calculation!E74=Calculation!$A$138,Calculation!G74,"")</f>
        <v/>
      </c>
      <c r="G75" s="54" t="str">
        <f>IF(Calculation!E74=Calculation!$A$138,Calculation!H74,"")</f>
        <v/>
      </c>
      <c r="H75" s="55"/>
    </row>
    <row r="76">
      <c r="A76" s="52" t="str">
        <f>IF(Calculation!E75=Calculation!$A$138,Calculation!B75,"")</f>
        <v/>
      </c>
      <c r="B76" s="53" t="str">
        <f>IF(Calculation!E75=Calculation!$A$136,Calculation!I75,"")</f>
        <v/>
      </c>
      <c r="C76" s="52" t="str">
        <f>IF(Calculation!E75=Calculation!$A$138,Calculation!D75,"")</f>
        <v/>
      </c>
      <c r="D76" s="52" t="str">
        <f>IF(Calculation!E75=Calculation!$A$138,Calculation!C75,"")</f>
        <v/>
      </c>
      <c r="E76" s="52" t="str">
        <f>IF(Calculation!E75=Calculation!$A$138,Calculation!F75,"")</f>
        <v/>
      </c>
      <c r="F76" s="54" t="str">
        <f>IF(Calculation!E75=Calculation!$A$138,Calculation!G75,"")</f>
        <v/>
      </c>
      <c r="G76" s="54" t="str">
        <f>IF(Calculation!E75=Calculation!$A$138,Calculation!H75,"")</f>
        <v/>
      </c>
      <c r="H76" s="55"/>
    </row>
    <row r="77">
      <c r="A77" s="52" t="str">
        <f>IF(Calculation!E76=Calculation!$A$138,Calculation!B76,"")</f>
        <v/>
      </c>
      <c r="B77" s="53" t="str">
        <f>IF(Calculation!E76=Calculation!$A$136,Calculation!I76,"")</f>
        <v/>
      </c>
      <c r="C77" s="52" t="str">
        <f>IF(Calculation!E76=Calculation!$A$138,Calculation!D76,"")</f>
        <v/>
      </c>
      <c r="D77" s="52" t="str">
        <f>IF(Calculation!E76=Calculation!$A$138,Calculation!C76,"")</f>
        <v/>
      </c>
      <c r="E77" s="52" t="str">
        <f>IF(Calculation!E76=Calculation!$A$138,Calculation!F76,"")</f>
        <v/>
      </c>
      <c r="F77" s="54" t="str">
        <f>IF(Calculation!E76=Calculation!$A$138,Calculation!G76,"")</f>
        <v/>
      </c>
      <c r="G77" s="54" t="str">
        <f>IF(Calculation!E76=Calculation!$A$138,Calculation!H76,"")</f>
        <v/>
      </c>
      <c r="H77" s="55"/>
    </row>
    <row r="78" ht="22.5" customHeight="1">
      <c r="A78" s="52" t="str">
        <f>IF(Calculation!E77=Calculation!$A$138,Calculation!B77,"")</f>
        <v/>
      </c>
      <c r="B78" s="53" t="str">
        <f>IF(Calculation!E77=Calculation!$A$136,Calculation!I77,"")</f>
        <v/>
      </c>
      <c r="C78" s="52" t="str">
        <f>IF(Calculation!E77=Calculation!$A$138,Calculation!D77,"")</f>
        <v/>
      </c>
      <c r="D78" s="52" t="str">
        <f>IF(Calculation!E77=Calculation!$A$138,Calculation!C77,"")</f>
        <v/>
      </c>
      <c r="E78" s="52" t="str">
        <f>IF(Calculation!E77=Calculation!$A$138,Calculation!F77,"")</f>
        <v/>
      </c>
      <c r="F78" s="54" t="str">
        <f>IF(Calculation!E77=Calculation!$A$138,Calculation!G77,"")</f>
        <v/>
      </c>
      <c r="G78" s="54" t="str">
        <f>IF(Calculation!E77=Calculation!$A$138,Calculation!H77,"")</f>
        <v/>
      </c>
      <c r="H78" s="55"/>
    </row>
    <row r="79" ht="21.75" customHeight="1">
      <c r="A79" s="52" t="str">
        <f>IF(Calculation!E78=Calculation!$A$138,Calculation!B78,"")</f>
        <v/>
      </c>
      <c r="B79" s="53" t="str">
        <f>IF(Calculation!E78=Calculation!$A$136,Calculation!I78,"")</f>
        <v/>
      </c>
      <c r="C79" s="52" t="str">
        <f>IF(Calculation!E78=Calculation!$A$138,Calculation!D78,"")</f>
        <v/>
      </c>
      <c r="D79" s="52" t="str">
        <f>IF(Calculation!E78=Calculation!$A$138,Calculation!C78,"")</f>
        <v/>
      </c>
      <c r="E79" s="52" t="str">
        <f>IF(Calculation!E78=Calculation!$A$138,Calculation!F78,"")</f>
        <v/>
      </c>
      <c r="F79" s="54" t="str">
        <f>IF(Calculation!E78=Calculation!$A$138,Calculation!G78,"")</f>
        <v/>
      </c>
      <c r="G79" s="54" t="str">
        <f>IF(Calculation!E78=Calculation!$A$138,Calculation!H78,"")</f>
        <v/>
      </c>
      <c r="H79" s="55"/>
    </row>
    <row r="80" ht="24.0" customHeight="1">
      <c r="A80" s="52" t="str">
        <f>IF(Calculation!E79=Calculation!$A$138,Calculation!B79,"")</f>
        <v/>
      </c>
      <c r="B80" s="53" t="str">
        <f>IF(Calculation!E79=Calculation!$A$136,Calculation!I79,"")</f>
        <v/>
      </c>
      <c r="C80" s="52" t="str">
        <f>IF(Calculation!E79=Calculation!$A$138,Calculation!D79,"")</f>
        <v/>
      </c>
      <c r="D80" s="52" t="str">
        <f>IF(Calculation!E79=Calculation!$A$138,Calculation!C79,"")</f>
        <v/>
      </c>
      <c r="E80" s="52" t="str">
        <f>IF(Calculation!E79=Calculation!$A$138,Calculation!F79,"")</f>
        <v/>
      </c>
      <c r="F80" s="54" t="str">
        <f>IF(Calculation!E79=Calculation!$A$138,Calculation!G79,"")</f>
        <v/>
      </c>
      <c r="G80" s="54" t="str">
        <f>IF(Calculation!E79=Calculation!$A$138,Calculation!H79,"")</f>
        <v/>
      </c>
      <c r="H80" s="55"/>
    </row>
    <row r="81" ht="21.75" customHeight="1">
      <c r="A81" s="52" t="str">
        <f>IF(Calculation!E80=Calculation!$A$138,Calculation!B80,"")</f>
        <v/>
      </c>
      <c r="B81" s="53" t="str">
        <f>IF(Calculation!E80=Calculation!$A$136,Calculation!I80,"")</f>
        <v/>
      </c>
      <c r="C81" s="52" t="str">
        <f>IF(Calculation!E80=Calculation!$A$138,Calculation!D80,"")</f>
        <v/>
      </c>
      <c r="D81" s="52" t="str">
        <f>IF(Calculation!E80=Calculation!$A$138,Calculation!C80,"")</f>
        <v/>
      </c>
      <c r="E81" s="52" t="str">
        <f>IF(Calculation!E80=Calculation!$A$138,Calculation!F80,"")</f>
        <v/>
      </c>
      <c r="F81" s="54" t="str">
        <f>IF(Calculation!E80=Calculation!$A$138,Calculation!G80,"")</f>
        <v/>
      </c>
      <c r="G81" s="54" t="str">
        <f>IF(Calculation!E80=Calculation!$A$138,Calculation!H80,"")</f>
        <v/>
      </c>
      <c r="H81" s="55"/>
    </row>
    <row r="82" ht="20.25" customHeight="1">
      <c r="A82" s="52" t="str">
        <f>IF(Calculation!E81=Calculation!$A$138,Calculation!B81,"")</f>
        <v/>
      </c>
      <c r="B82" s="53" t="str">
        <f>IF(Calculation!E81=Calculation!$A$136,Calculation!I81,"")</f>
        <v/>
      </c>
      <c r="C82" s="52" t="str">
        <f>IF(Calculation!E81=Calculation!$A$138,Calculation!D81,"")</f>
        <v/>
      </c>
      <c r="D82" s="52" t="str">
        <f>IF(Calculation!E81=Calculation!$A$138,Calculation!C81,"")</f>
        <v/>
      </c>
      <c r="E82" s="52" t="str">
        <f>IF(Calculation!E81=Calculation!$A$138,Calculation!F81,"")</f>
        <v/>
      </c>
      <c r="F82" s="54" t="str">
        <f>IF(Calculation!E81=Calculation!$A$138,Calculation!G81,"")</f>
        <v/>
      </c>
      <c r="G82" s="54" t="str">
        <f>IF(Calculation!E81=Calculation!$A$138,Calculation!H81,"")</f>
        <v/>
      </c>
      <c r="H82" s="55"/>
    </row>
    <row r="83">
      <c r="A83" s="52" t="str">
        <f>IF(Calculation!E82=Calculation!$A$138,Calculation!B82,"")</f>
        <v/>
      </c>
      <c r="B83" s="53" t="str">
        <f>IF(Calculation!E82=Calculation!$A$136,Calculation!I82,"")</f>
        <v/>
      </c>
      <c r="C83" s="52" t="str">
        <f>IF(Calculation!E82=Calculation!$A$138,Calculation!D82,"")</f>
        <v/>
      </c>
      <c r="D83" s="52" t="str">
        <f>IF(Calculation!E82=Calculation!$A$138,Calculation!C82,"")</f>
        <v/>
      </c>
      <c r="E83" s="52" t="str">
        <f>IF(Calculation!E82=Calculation!$A$138,Calculation!F82,"")</f>
        <v/>
      </c>
      <c r="F83" s="54" t="str">
        <f>IF(Calculation!E82=Calculation!$A$138,Calculation!G82,"")</f>
        <v/>
      </c>
      <c r="G83" s="54" t="str">
        <f>IF(Calculation!E82=Calculation!$A$138,Calculation!H82,"")</f>
        <v/>
      </c>
      <c r="H83" s="55"/>
    </row>
    <row r="84">
      <c r="A84" s="52" t="str">
        <f>IF(Calculation!E83=Calculation!$A$138,Calculation!B83,"")</f>
        <v/>
      </c>
      <c r="B84" s="53" t="str">
        <f>IF(Calculation!E83=Calculation!$A$136,Calculation!I83,"")</f>
        <v/>
      </c>
      <c r="C84" s="52" t="str">
        <f>IF(Calculation!E83=Calculation!$A$138,Calculation!D83,"")</f>
        <v/>
      </c>
      <c r="D84" s="52" t="str">
        <f>IF(Calculation!E83=Calculation!$A$138,Calculation!C83,"")</f>
        <v/>
      </c>
      <c r="E84" s="52" t="str">
        <f>IF(Calculation!E83=Calculation!$A$138,Calculation!F83,"")</f>
        <v/>
      </c>
      <c r="F84" s="54" t="str">
        <f>IF(Calculation!E83=Calculation!$A$138,Calculation!G83,"")</f>
        <v/>
      </c>
      <c r="G84" s="54" t="str">
        <f>IF(Calculation!E83=Calculation!$A$138,Calculation!H83,"")</f>
        <v/>
      </c>
      <c r="H84" s="55"/>
    </row>
    <row r="85">
      <c r="A85" s="52" t="str">
        <f>IF(Calculation!E84=Calculation!$A$138,Calculation!B84,"")</f>
        <v/>
      </c>
      <c r="B85" s="53" t="str">
        <f>IF(Calculation!E84=Calculation!$A$136,Calculation!I84,"")</f>
        <v/>
      </c>
      <c r="C85" s="52" t="str">
        <f>IF(Calculation!E84=Calculation!$A$138,Calculation!D84,"")</f>
        <v/>
      </c>
      <c r="D85" s="52" t="str">
        <f>IF(Calculation!E84=Calculation!$A$138,Calculation!C84,"")</f>
        <v/>
      </c>
      <c r="E85" s="52" t="str">
        <f>IF(Calculation!E84=Calculation!$A$138,Calculation!F84,"")</f>
        <v/>
      </c>
      <c r="F85" s="54" t="str">
        <f>IF(Calculation!E84=Calculation!$A$138,Calculation!G84,"")</f>
        <v/>
      </c>
      <c r="G85" s="54" t="str">
        <f>IF(Calculation!E84=Calculation!$A$138,Calculation!H84,"")</f>
        <v/>
      </c>
      <c r="H85" s="55"/>
    </row>
    <row r="86">
      <c r="A86" s="52" t="str">
        <f>IF(Calculation!E85=Calculation!$A$138,Calculation!B85,"")</f>
        <v/>
      </c>
      <c r="B86" s="53" t="str">
        <f>IF(Calculation!E85=Calculation!$A$136,Calculation!I85,"")</f>
        <v/>
      </c>
      <c r="C86" s="52" t="str">
        <f>IF(Calculation!E85=Calculation!$A$138,Calculation!D85,"")</f>
        <v/>
      </c>
      <c r="D86" s="52" t="str">
        <f>IF(Calculation!E85=Calculation!$A$138,Calculation!C85,"")</f>
        <v/>
      </c>
      <c r="E86" s="52" t="str">
        <f>IF(Calculation!E85=Calculation!$A$138,Calculation!F85,"")</f>
        <v/>
      </c>
      <c r="F86" s="54" t="str">
        <f>IF(Calculation!E85=Calculation!$A$138,Calculation!G85,"")</f>
        <v/>
      </c>
      <c r="G86" s="54" t="str">
        <f>IF(Calculation!E85=Calculation!$A$138,Calculation!H85,"")</f>
        <v/>
      </c>
      <c r="H86" s="55"/>
    </row>
    <row r="87">
      <c r="A87" s="52" t="str">
        <f>IF(Calculation!E86=Calculation!$A$138,Calculation!B86,"")</f>
        <v/>
      </c>
      <c r="B87" s="53" t="str">
        <f>IF(Calculation!E86=Calculation!$A$136,Calculation!I86,"")</f>
        <v/>
      </c>
      <c r="C87" s="52" t="str">
        <f>IF(Calculation!E86=Calculation!$A$138,Calculation!D86,"")</f>
        <v/>
      </c>
      <c r="D87" s="52" t="str">
        <f>IF(Calculation!E86=Calculation!$A$138,Calculation!C86,"")</f>
        <v/>
      </c>
      <c r="E87" s="52" t="str">
        <f>IF(Calculation!E86=Calculation!$A$138,Calculation!F86,"")</f>
        <v/>
      </c>
      <c r="F87" s="54" t="str">
        <f>IF(Calculation!E86=Calculation!$A$138,Calculation!G86,"")</f>
        <v/>
      </c>
      <c r="G87" s="54" t="str">
        <f>IF(Calculation!E86=Calculation!$A$138,Calculation!H86,"")</f>
        <v/>
      </c>
      <c r="H87" s="55"/>
    </row>
    <row r="88">
      <c r="A88" s="52" t="str">
        <f>IF(Calculation!E87=Calculation!$A$138,Calculation!B87,"")</f>
        <v/>
      </c>
      <c r="B88" s="53" t="str">
        <f>IF(Calculation!E87=Calculation!$A$136,Calculation!I87,"")</f>
        <v/>
      </c>
      <c r="C88" s="52" t="str">
        <f>IF(Calculation!E87=Calculation!$A$138,Calculation!D87,"")</f>
        <v/>
      </c>
      <c r="D88" s="52" t="str">
        <f>IF(Calculation!E87=Calculation!$A$138,Calculation!C87,"")</f>
        <v/>
      </c>
      <c r="E88" s="52" t="str">
        <f>IF(Calculation!E87=Calculation!$A$138,Calculation!F87,"")</f>
        <v/>
      </c>
      <c r="F88" s="54" t="str">
        <f>IF(Calculation!E87=Calculation!$A$138,Calculation!G87,"")</f>
        <v/>
      </c>
      <c r="G88" s="54" t="str">
        <f>IF(Calculation!E87=Calculation!$A$138,Calculation!H87,"")</f>
        <v/>
      </c>
      <c r="H88" s="55"/>
    </row>
    <row r="89">
      <c r="A89" s="52" t="str">
        <f>IF(Calculation!E88=Calculation!$A$138,Calculation!B88,"")</f>
        <v/>
      </c>
      <c r="B89" s="53" t="str">
        <f>IF(Calculation!E88=Calculation!$A$136,Calculation!I88,"")</f>
        <v/>
      </c>
      <c r="C89" s="52" t="str">
        <f>IF(Calculation!E88=Calculation!$A$138,Calculation!D88,"")</f>
        <v/>
      </c>
      <c r="D89" s="52" t="str">
        <f>IF(Calculation!E88=Calculation!$A$138,Calculation!C88,"")</f>
        <v/>
      </c>
      <c r="E89" s="52" t="str">
        <f>IF(Calculation!E88=Calculation!$A$138,Calculation!F88,"")</f>
        <v/>
      </c>
      <c r="F89" s="54" t="str">
        <f>IF(Calculation!E88=Calculation!$A$138,Calculation!G88,"")</f>
        <v/>
      </c>
      <c r="G89" s="54" t="str">
        <f>IF(Calculation!E88=Calculation!$A$138,Calculation!H88,"")</f>
        <v/>
      </c>
      <c r="H89" s="55"/>
    </row>
    <row r="90">
      <c r="A90" s="52" t="str">
        <f>IF(Calculation!E89=Calculation!$A$138,Calculation!B89,"")</f>
        <v/>
      </c>
      <c r="B90" s="53" t="str">
        <f>IF(Calculation!E89=Calculation!$A$136,Calculation!I89,"")</f>
        <v/>
      </c>
      <c r="C90" s="52" t="str">
        <f>IF(Calculation!E89=Calculation!$A$138,Calculation!D89,"")</f>
        <v/>
      </c>
      <c r="D90" s="52" t="str">
        <f>IF(Calculation!E89=Calculation!$A$138,Calculation!C89,"")</f>
        <v/>
      </c>
      <c r="E90" s="52" t="str">
        <f>IF(Calculation!E89=Calculation!$A$138,Calculation!F89,"")</f>
        <v/>
      </c>
      <c r="F90" s="54" t="str">
        <f>IF(Calculation!E89=Calculation!$A$138,Calculation!G89,"")</f>
        <v/>
      </c>
      <c r="G90" s="54" t="str">
        <f>IF(Calculation!E89=Calculation!$A$138,Calculation!H89,"")</f>
        <v/>
      </c>
      <c r="H90" s="55"/>
    </row>
    <row r="91">
      <c r="A91" s="52" t="str">
        <f>IF(Calculation!E90=Calculation!$A$138,Calculation!B90,"")</f>
        <v/>
      </c>
      <c r="B91" s="53" t="str">
        <f>IF(Calculation!E90=Calculation!$A$136,Calculation!I90,"")</f>
        <v/>
      </c>
      <c r="C91" s="52" t="str">
        <f>IF(Calculation!E90=Calculation!$A$138,Calculation!D90,"")</f>
        <v/>
      </c>
      <c r="D91" s="52" t="str">
        <f>IF(Calculation!E90=Calculation!$A$138,Calculation!C90,"")</f>
        <v/>
      </c>
      <c r="E91" s="52" t="str">
        <f>IF(Calculation!E90=Calculation!$A$138,Calculation!F90,"")</f>
        <v/>
      </c>
      <c r="F91" s="54" t="str">
        <f>IF(Calculation!E90=Calculation!$A$138,Calculation!G90,"")</f>
        <v/>
      </c>
      <c r="G91" s="54" t="str">
        <f>IF(Calculation!E90=Calculation!$A$138,Calculation!H90,"")</f>
        <v/>
      </c>
      <c r="H91" s="55"/>
    </row>
    <row r="92">
      <c r="A92" s="52" t="str">
        <f>IF(Calculation!E91=Calculation!$A$138,Calculation!B91,"")</f>
        <v/>
      </c>
      <c r="B92" s="53" t="str">
        <f>IF(Calculation!E91=Calculation!$A$136,Calculation!I91,"")</f>
        <v/>
      </c>
      <c r="C92" s="52" t="str">
        <f>IF(Calculation!E91=Calculation!$A$138,Calculation!D91,"")</f>
        <v/>
      </c>
      <c r="D92" s="52" t="str">
        <f>IF(Calculation!E91=Calculation!$A$138,Calculation!C91,"")</f>
        <v/>
      </c>
      <c r="E92" s="52" t="str">
        <f>IF(Calculation!E91=Calculation!$A$138,Calculation!F91,"")</f>
        <v/>
      </c>
      <c r="F92" s="54" t="str">
        <f>IF(Calculation!E91=Calculation!$A$138,Calculation!G91,"")</f>
        <v/>
      </c>
      <c r="G92" s="54" t="str">
        <f>IF(Calculation!E91=Calculation!$A$138,Calculation!H91,"")</f>
        <v/>
      </c>
      <c r="H92" s="55"/>
    </row>
    <row r="93">
      <c r="A93" s="52" t="str">
        <f>IF(Calculation!E92=Calculation!$A$138,Calculation!B92,"")</f>
        <v/>
      </c>
      <c r="B93" s="53" t="str">
        <f>IF(Calculation!E92=Calculation!$A$136,Calculation!I92,"")</f>
        <v/>
      </c>
      <c r="C93" s="52" t="str">
        <f>IF(Calculation!E92=Calculation!$A$138,Calculation!D92,"")</f>
        <v/>
      </c>
      <c r="D93" s="52" t="str">
        <f>IF(Calculation!E92=Calculation!$A$138,Calculation!C92,"")</f>
        <v/>
      </c>
      <c r="E93" s="52" t="str">
        <f>IF(Calculation!E92=Calculation!$A$138,Calculation!F92,"")</f>
        <v/>
      </c>
      <c r="F93" s="54" t="str">
        <f>IF(Calculation!E92=Calculation!$A$138,Calculation!G92,"")</f>
        <v/>
      </c>
      <c r="G93" s="54" t="str">
        <f>IF(Calculation!E92=Calculation!$A$138,Calculation!H92,"")</f>
        <v/>
      </c>
      <c r="H93" s="55"/>
    </row>
    <row r="94">
      <c r="A94" s="52" t="str">
        <f>IF(Calculation!E93=Calculation!$A$138,Calculation!B93,"")</f>
        <v/>
      </c>
      <c r="B94" s="53" t="str">
        <f>IF(Calculation!E93=Calculation!$A$136,Calculation!I93,"")</f>
        <v/>
      </c>
      <c r="C94" s="52" t="str">
        <f>IF(Calculation!E93=Calculation!$A$138,Calculation!D93,"")</f>
        <v/>
      </c>
      <c r="D94" s="52" t="str">
        <f>IF(Calculation!E93=Calculation!$A$138,Calculation!C93,"")</f>
        <v/>
      </c>
      <c r="E94" s="52" t="str">
        <f>IF(Calculation!E93=Calculation!$A$138,Calculation!F93,"")</f>
        <v/>
      </c>
      <c r="F94" s="54" t="str">
        <f>IF(Calculation!E93=Calculation!$A$138,Calculation!G93,"")</f>
        <v/>
      </c>
      <c r="G94" s="54" t="str">
        <f>IF(Calculation!E93=Calculation!$A$138,Calculation!H93,"")</f>
        <v/>
      </c>
      <c r="H94" s="55"/>
    </row>
    <row r="95">
      <c r="A95" s="52" t="str">
        <f>IF(Calculation!E94=Calculation!$A$138,Calculation!B94,"")</f>
        <v/>
      </c>
      <c r="B95" s="53" t="str">
        <f>IF(Calculation!E94=Calculation!$A$136,Calculation!I94,"")</f>
        <v/>
      </c>
      <c r="C95" s="52" t="str">
        <f>IF(Calculation!E94=Calculation!$A$138,Calculation!D94,"")</f>
        <v/>
      </c>
      <c r="D95" s="52" t="str">
        <f>IF(Calculation!E94=Calculation!$A$138,Calculation!C94,"")</f>
        <v/>
      </c>
      <c r="E95" s="52" t="str">
        <f>IF(Calculation!E94=Calculation!$A$138,Calculation!F94,"")</f>
        <v/>
      </c>
      <c r="F95" s="54" t="str">
        <f>IF(Calculation!E94=Calculation!$A$138,Calculation!G94,"")</f>
        <v/>
      </c>
      <c r="G95" s="54" t="str">
        <f>IF(Calculation!E94=Calculation!$A$138,Calculation!H94,"")</f>
        <v/>
      </c>
      <c r="H95" s="55"/>
    </row>
    <row r="96">
      <c r="A96" s="52" t="str">
        <f>IF(Calculation!E95=Calculation!$A$138,Calculation!B95,"")</f>
        <v/>
      </c>
      <c r="B96" s="53" t="str">
        <f>IF(Calculation!E95=Calculation!$A$136,Calculation!I95,"")</f>
        <v/>
      </c>
      <c r="C96" s="52" t="str">
        <f>IF(Calculation!E95=Calculation!$A$138,Calculation!D95,"")</f>
        <v/>
      </c>
      <c r="D96" s="52" t="str">
        <f>IF(Calculation!E95=Calculation!$A$138,Calculation!C95,"")</f>
        <v/>
      </c>
      <c r="E96" s="52" t="str">
        <f>IF(Calculation!E95=Calculation!$A$138,Calculation!F95,"")</f>
        <v/>
      </c>
      <c r="F96" s="54" t="str">
        <f>IF(Calculation!E95=Calculation!$A$138,Calculation!G95,"")</f>
        <v/>
      </c>
      <c r="G96" s="54" t="str">
        <f>IF(Calculation!E95=Calculation!$A$138,Calculation!H95,"")</f>
        <v/>
      </c>
      <c r="H96" s="55"/>
    </row>
    <row r="97">
      <c r="A97" s="52" t="str">
        <f>IF(Calculation!E96=Calculation!$A$138,Calculation!B96,"")</f>
        <v/>
      </c>
      <c r="B97" s="53" t="str">
        <f>IF(Calculation!E96=Calculation!$A$136,Calculation!I96,"")</f>
        <v/>
      </c>
      <c r="C97" s="52" t="str">
        <f>IF(Calculation!E96=Calculation!$A$138,Calculation!D96,"")</f>
        <v/>
      </c>
      <c r="D97" s="52" t="str">
        <f>IF(Calculation!E96=Calculation!$A$138,Calculation!C96,"")</f>
        <v/>
      </c>
      <c r="E97" s="52" t="str">
        <f>IF(Calculation!E96=Calculation!$A$138,Calculation!F96,"")</f>
        <v/>
      </c>
      <c r="F97" s="54" t="str">
        <f>IF(Calculation!E96=Calculation!$A$138,Calculation!G96,"")</f>
        <v/>
      </c>
      <c r="G97" s="54" t="str">
        <f>IF(Calculation!E96=Calculation!$A$138,Calculation!H96,"")</f>
        <v/>
      </c>
      <c r="H97" s="55"/>
    </row>
    <row r="98">
      <c r="A98" s="52" t="str">
        <f>IF(Calculation!E97=Calculation!$A$138,Calculation!B97,"")</f>
        <v/>
      </c>
      <c r="B98" s="53" t="str">
        <f>IF(Calculation!E97=Calculation!$A$136,Calculation!I97,"")</f>
        <v/>
      </c>
      <c r="C98" s="52" t="str">
        <f>IF(Calculation!E97=Calculation!$A$138,Calculation!D97,"")</f>
        <v/>
      </c>
      <c r="D98" s="52" t="str">
        <f>IF(Calculation!E97=Calculation!$A$138,Calculation!C97,"")</f>
        <v/>
      </c>
      <c r="E98" s="52" t="str">
        <f>IF(Calculation!E97=Calculation!$A$138,Calculation!F97,"")</f>
        <v/>
      </c>
      <c r="F98" s="54" t="str">
        <f>IF(Calculation!E97=Calculation!$A$138,Calculation!G97,"")</f>
        <v/>
      </c>
      <c r="G98" s="54" t="str">
        <f>IF(Calculation!E97=Calculation!$A$138,Calculation!H97,"")</f>
        <v/>
      </c>
      <c r="H98" s="55"/>
    </row>
    <row r="99">
      <c r="A99" s="52" t="str">
        <f>IF(Calculation!E98=Calculation!$A$138,Calculation!B98,"")</f>
        <v/>
      </c>
      <c r="B99" s="53" t="str">
        <f>IF(Calculation!E98=Calculation!$A$136,Calculation!I98,"")</f>
        <v/>
      </c>
      <c r="C99" s="52" t="str">
        <f>IF(Calculation!E98=Calculation!$A$138,Calculation!D98,"")</f>
        <v/>
      </c>
      <c r="D99" s="52" t="str">
        <f>IF(Calculation!E98=Calculation!$A$138,Calculation!C98,"")</f>
        <v/>
      </c>
      <c r="E99" s="52" t="str">
        <f>IF(Calculation!E98=Calculation!$A$138,Calculation!F98,"")</f>
        <v/>
      </c>
      <c r="F99" s="54" t="str">
        <f>IF(Calculation!E98=Calculation!$A$138,Calculation!G98,"")</f>
        <v/>
      </c>
      <c r="G99" s="54" t="str">
        <f>IF(Calculation!E98=Calculation!$A$138,Calculation!H98,"")</f>
        <v/>
      </c>
      <c r="H99" s="55"/>
    </row>
    <row r="100">
      <c r="A100" s="52" t="str">
        <f>IF(Calculation!E99=Calculation!$A$138,Calculation!B99,"")</f>
        <v/>
      </c>
      <c r="B100" s="53" t="str">
        <f>IF(Calculation!E99=Calculation!$A$136,Calculation!I99,"")</f>
        <v/>
      </c>
      <c r="C100" s="52" t="str">
        <f>IF(Calculation!E99=Calculation!$A$138,Calculation!D99,"")</f>
        <v/>
      </c>
      <c r="D100" s="52" t="str">
        <f>IF(Calculation!E99=Calculation!$A$138,Calculation!C99,"")</f>
        <v/>
      </c>
      <c r="E100" s="52" t="str">
        <f>IF(Calculation!E99=Calculation!$A$138,Calculation!F99,"")</f>
        <v/>
      </c>
      <c r="F100" s="54" t="str">
        <f>IF(Calculation!E99=Calculation!$A$138,Calculation!G99,"")</f>
        <v/>
      </c>
      <c r="G100" s="54" t="str">
        <f>IF(Calculation!E99=Calculation!$A$138,Calculation!H99,"")</f>
        <v/>
      </c>
      <c r="H100" s="55"/>
    </row>
    <row r="101">
      <c r="A101" s="52" t="str">
        <f>IF(Calculation!E100=Calculation!$A$138,Calculation!B100,"")</f>
        <v/>
      </c>
      <c r="B101" s="53" t="str">
        <f>IF(Calculation!E100=Calculation!$A$136,Calculation!I100,"")</f>
        <v/>
      </c>
      <c r="C101" s="52" t="str">
        <f>IF(Calculation!E100=Calculation!$A$138,Calculation!D100,"")</f>
        <v/>
      </c>
      <c r="D101" s="52" t="str">
        <f>IF(Calculation!E100=Calculation!$A$138,Calculation!C100,"")</f>
        <v/>
      </c>
      <c r="E101" s="52" t="str">
        <f>IF(Calculation!E100=Calculation!$A$138,Calculation!F100,"")</f>
        <v/>
      </c>
      <c r="F101" s="54" t="str">
        <f>IF(Calculation!E100=Calculation!$A$138,Calculation!G100,"")</f>
        <v/>
      </c>
      <c r="G101" s="54" t="str">
        <f>IF(Calculation!E100=Calculation!$A$138,Calculation!H100,"")</f>
        <v/>
      </c>
      <c r="H101" s="55"/>
    </row>
    <row r="102">
      <c r="A102" s="52" t="str">
        <f>IF(Calculation!E101=Calculation!$A$138,Calculation!B101,"")</f>
        <v/>
      </c>
      <c r="B102" s="53" t="str">
        <f>IF(Calculation!E101=Calculation!$A$136,Calculation!I101,"")</f>
        <v/>
      </c>
      <c r="C102" s="52" t="str">
        <f>IF(Calculation!E101=Calculation!$A$138,Calculation!D101,"")</f>
        <v/>
      </c>
      <c r="D102" s="52" t="str">
        <f>IF(Calculation!E101=Calculation!$A$138,Calculation!C101,"")</f>
        <v/>
      </c>
      <c r="E102" s="52" t="str">
        <f>IF(Calculation!E101=Calculation!$A$138,Calculation!F101,"")</f>
        <v/>
      </c>
      <c r="F102" s="54" t="str">
        <f>IF(Calculation!E101=Calculation!$A$138,Calculation!G101,"")</f>
        <v/>
      </c>
      <c r="G102" s="54" t="str">
        <f>IF(Calculation!E101=Calculation!$A$138,Calculation!H101,"")</f>
        <v/>
      </c>
      <c r="H102" s="55"/>
    </row>
    <row r="103">
      <c r="A103" s="52" t="str">
        <f>IF(Calculation!E102=Calculation!$A$138,Calculation!B102,"")</f>
        <v/>
      </c>
      <c r="B103" s="53" t="str">
        <f>IF(Calculation!E102=Calculation!$A$136,Calculation!I102,"")</f>
        <v/>
      </c>
      <c r="C103" s="52" t="str">
        <f>IF(Calculation!E102=Calculation!$A$138,Calculation!D102,"")</f>
        <v/>
      </c>
      <c r="D103" s="52" t="str">
        <f>IF(Calculation!E102=Calculation!$A$138,Calculation!C102,"")</f>
        <v/>
      </c>
      <c r="E103" s="52" t="str">
        <f>IF(Calculation!E102=Calculation!$A$138,Calculation!F102,"")</f>
        <v/>
      </c>
      <c r="F103" s="54" t="str">
        <f>IF(Calculation!E102=Calculation!$A$138,Calculation!G102,"")</f>
        <v/>
      </c>
      <c r="G103" s="54" t="str">
        <f>IF(Calculation!E102=Calculation!$A$138,Calculation!H102,"")</f>
        <v/>
      </c>
      <c r="H103" s="55"/>
    </row>
    <row r="104">
      <c r="A104" s="52" t="str">
        <f>IF(Calculation!E103=Calculation!$A$138,Calculation!B103,"")</f>
        <v/>
      </c>
      <c r="B104" s="53" t="str">
        <f>IF(Calculation!E103=Calculation!$A$136,Calculation!I103,"")</f>
        <v/>
      </c>
      <c r="C104" s="52" t="str">
        <f>IF(Calculation!E103=Calculation!$A$138,Calculation!D103,"")</f>
        <v/>
      </c>
      <c r="D104" s="52" t="str">
        <f>IF(Calculation!E103=Calculation!$A$138,Calculation!C103,"")</f>
        <v/>
      </c>
      <c r="E104" s="52" t="str">
        <f>IF(Calculation!E103=Calculation!$A$138,Calculation!F103,"")</f>
        <v/>
      </c>
      <c r="F104" s="54" t="str">
        <f>IF(Calculation!E103=Calculation!$A$138,Calculation!G103,"")</f>
        <v/>
      </c>
      <c r="G104" s="54" t="str">
        <f>IF(Calculation!E103=Calculation!$A$138,Calculation!H103,"")</f>
        <v/>
      </c>
      <c r="H104" s="55"/>
    </row>
    <row r="105">
      <c r="A105" s="52" t="str">
        <f>IF(Calculation!E104=Calculation!$A$138,Calculation!B104,"")</f>
        <v/>
      </c>
      <c r="B105" s="53" t="str">
        <f>IF(Calculation!E104=Calculation!$A$136,Calculation!I104,"")</f>
        <v/>
      </c>
      <c r="C105" s="52" t="str">
        <f>IF(Calculation!E104=Calculation!$A$138,Calculation!D104,"")</f>
        <v/>
      </c>
      <c r="D105" s="52" t="str">
        <f>IF(Calculation!E104=Calculation!$A$138,Calculation!C104,"")</f>
        <v/>
      </c>
      <c r="E105" s="52" t="str">
        <f>IF(Calculation!E104=Calculation!$A$138,Calculation!F104,"")</f>
        <v/>
      </c>
      <c r="F105" s="54" t="str">
        <f>IF(Calculation!E104=Calculation!$A$138,Calculation!G104,"")</f>
        <v/>
      </c>
      <c r="G105" s="54" t="str">
        <f>IF(Calculation!E104=Calculation!$A$138,Calculation!H104,"")</f>
        <v/>
      </c>
      <c r="H105" s="55"/>
    </row>
    <row r="106">
      <c r="A106" s="52" t="str">
        <f>IF(Calculation!E105=Calculation!$A$138,Calculation!B105,"")</f>
        <v/>
      </c>
      <c r="B106" s="53" t="str">
        <f>IF(Calculation!E105=Calculation!$A$136,Calculation!I105,"")</f>
        <v/>
      </c>
      <c r="C106" s="52" t="str">
        <f>IF(Calculation!E105=Calculation!$A$138,Calculation!D105,"")</f>
        <v/>
      </c>
      <c r="D106" s="52" t="str">
        <f>IF(Calculation!E105=Calculation!$A$138,Calculation!C105,"")</f>
        <v/>
      </c>
      <c r="E106" s="52" t="str">
        <f>IF(Calculation!E105=Calculation!$A$138,Calculation!F105,"")</f>
        <v/>
      </c>
      <c r="F106" s="54" t="str">
        <f>IF(Calculation!E105=Calculation!$A$138,Calculation!G105,"")</f>
        <v/>
      </c>
      <c r="G106" s="54" t="str">
        <f>IF(Calculation!E105=Calculation!$A$138,Calculation!H105,"")</f>
        <v/>
      </c>
      <c r="H106" s="55"/>
    </row>
    <row r="107">
      <c r="A107" s="52" t="str">
        <f>IF(Calculation!E106=Calculation!$A$138,Calculation!B106,"")</f>
        <v/>
      </c>
      <c r="B107" s="53" t="str">
        <f>IF(Calculation!E106=Calculation!$A$136,Calculation!I106,"")</f>
        <v/>
      </c>
      <c r="C107" s="52" t="str">
        <f>IF(Calculation!E106=Calculation!$A$138,Calculation!D106,"")</f>
        <v/>
      </c>
      <c r="D107" s="52" t="str">
        <f>IF(Calculation!E106=Calculation!$A$138,Calculation!C106,"")</f>
        <v/>
      </c>
      <c r="E107" s="52" t="str">
        <f>IF(Calculation!E106=Calculation!$A$138,Calculation!F106,"")</f>
        <v/>
      </c>
      <c r="F107" s="54" t="str">
        <f>IF(Calculation!E106=Calculation!$A$138,Calculation!G106,"")</f>
        <v/>
      </c>
      <c r="G107" s="54" t="str">
        <f>IF(Calculation!E106=Calculation!$A$138,Calculation!H106,"")</f>
        <v/>
      </c>
      <c r="H107" s="55"/>
    </row>
    <row r="108">
      <c r="A108" s="52" t="str">
        <f>IF(Calculation!E107=Calculation!$A$138,Calculation!B107,"")</f>
        <v/>
      </c>
      <c r="B108" s="53" t="str">
        <f>IF(Calculation!E107=Calculation!$A$136,Calculation!I107,"")</f>
        <v/>
      </c>
      <c r="C108" s="52" t="str">
        <f>IF(Calculation!E107=Calculation!$A$138,Calculation!D107,"")</f>
        <v/>
      </c>
      <c r="D108" s="52" t="str">
        <f>IF(Calculation!E107=Calculation!$A$138,Calculation!C107,"")</f>
        <v/>
      </c>
      <c r="E108" s="52" t="str">
        <f>IF(Calculation!E107=Calculation!$A$138,Calculation!F107,"")</f>
        <v/>
      </c>
      <c r="F108" s="54" t="str">
        <f>IF(Calculation!E107=Calculation!$A$138,Calculation!G107,"")</f>
        <v/>
      </c>
      <c r="G108" s="54" t="str">
        <f>IF(Calculation!E107=Calculation!$A$138,Calculation!H107,"")</f>
        <v/>
      </c>
      <c r="H108" s="55"/>
    </row>
    <row r="109">
      <c r="A109" s="52" t="str">
        <f>IF(Calculation!E108=Calculation!$A$138,Calculation!B108,"")</f>
        <v/>
      </c>
      <c r="B109" s="53" t="str">
        <f>IF(Calculation!E108=Calculation!$A$136,Calculation!I108,"")</f>
        <v/>
      </c>
      <c r="C109" s="52" t="str">
        <f>IF(Calculation!E108=Calculation!$A$138,Calculation!D108,"")</f>
        <v/>
      </c>
      <c r="D109" s="52" t="str">
        <f>IF(Calculation!E108=Calculation!$A$138,Calculation!C108,"")</f>
        <v/>
      </c>
      <c r="E109" s="52" t="str">
        <f>IF(Calculation!E108=Calculation!$A$138,Calculation!F108,"")</f>
        <v/>
      </c>
      <c r="F109" s="54" t="str">
        <f>IF(Calculation!E108=Calculation!$A$138,Calculation!G108,"")</f>
        <v/>
      </c>
      <c r="G109" s="54" t="str">
        <f>IF(Calculation!E108=Calculation!$A$138,Calculation!H108,"")</f>
        <v/>
      </c>
      <c r="H109" s="55"/>
    </row>
    <row r="110">
      <c r="A110" s="52" t="str">
        <f>IF(Calculation!E109=Calculation!$A$138,Calculation!B109,"")</f>
        <v/>
      </c>
      <c r="B110" s="53" t="str">
        <f>IF(Calculation!E109=Calculation!$A$136,Calculation!I109,"")</f>
        <v/>
      </c>
      <c r="C110" s="52" t="str">
        <f>IF(Calculation!E109=Calculation!$A$138,Calculation!D109,"")</f>
        <v/>
      </c>
      <c r="D110" s="52" t="str">
        <f>IF(Calculation!E109=Calculation!$A$138,Calculation!C109,"")</f>
        <v/>
      </c>
      <c r="E110" s="52" t="str">
        <f>IF(Calculation!E109=Calculation!$A$138,Calculation!F109,"")</f>
        <v/>
      </c>
      <c r="F110" s="54" t="str">
        <f>IF(Calculation!E109=Calculation!$A$138,Calculation!G109,"")</f>
        <v/>
      </c>
      <c r="G110" s="54" t="str">
        <f>IF(Calculation!E109=Calculation!$A$138,Calculation!H109,"")</f>
        <v/>
      </c>
      <c r="H110" s="55"/>
    </row>
    <row r="111">
      <c r="A111" s="52" t="str">
        <f>IF(Calculation!E110=Calculation!$A$138,Calculation!B110,"")</f>
        <v/>
      </c>
      <c r="B111" s="53" t="str">
        <f>IF(Calculation!E110=Calculation!$A$136,Calculation!I110,"")</f>
        <v/>
      </c>
      <c r="C111" s="52" t="str">
        <f>IF(Calculation!E110=Calculation!$A$138,Calculation!D110,"")</f>
        <v/>
      </c>
      <c r="D111" s="52" t="str">
        <f>IF(Calculation!E110=Calculation!$A$138,Calculation!C110,"")</f>
        <v/>
      </c>
      <c r="E111" s="52" t="str">
        <f>IF(Calculation!E110=Calculation!$A$138,Calculation!F110,"")</f>
        <v/>
      </c>
      <c r="F111" s="54" t="str">
        <f>IF(Calculation!E110=Calculation!$A$138,Calculation!G110,"")</f>
        <v/>
      </c>
      <c r="G111" s="54" t="str">
        <f>IF(Calculation!E110=Calculation!$A$138,Calculation!H110,"")</f>
        <v/>
      </c>
      <c r="H111" s="55"/>
    </row>
    <row r="112">
      <c r="A112" s="52" t="str">
        <f>IF(Calculation!E111=Calculation!$A$138,Calculation!B111,"")</f>
        <v/>
      </c>
      <c r="B112" s="53" t="str">
        <f>IF(Calculation!E111=Calculation!$A$136,Calculation!I111,"")</f>
        <v/>
      </c>
      <c r="C112" s="52" t="str">
        <f>IF(Calculation!E111=Calculation!$A$138,Calculation!D111,"")</f>
        <v/>
      </c>
      <c r="D112" s="52" t="str">
        <f>IF(Calculation!E111=Calculation!$A$138,Calculation!C111,"")</f>
        <v/>
      </c>
      <c r="E112" s="52" t="str">
        <f>IF(Calculation!E111=Calculation!$A$138,Calculation!F111,"")</f>
        <v/>
      </c>
      <c r="F112" s="54" t="str">
        <f>IF(Calculation!E111=Calculation!$A$138,Calculation!G111,"")</f>
        <v/>
      </c>
      <c r="G112" s="54" t="str">
        <f>IF(Calculation!E111=Calculation!$A$138,Calculation!H111,"")</f>
        <v/>
      </c>
      <c r="H112" s="55"/>
    </row>
    <row r="113">
      <c r="A113" s="52" t="str">
        <f>IF(Calculation!E112=Calculation!$A$138,Calculation!B112,"")</f>
        <v/>
      </c>
      <c r="B113" s="53" t="str">
        <f>IF(Calculation!E112=Calculation!$A$136,Calculation!I112,"")</f>
        <v/>
      </c>
      <c r="C113" s="52" t="str">
        <f>IF(Calculation!E112=Calculation!$A$138,Calculation!D112,"")</f>
        <v/>
      </c>
      <c r="D113" s="52" t="str">
        <f>IF(Calculation!E112=Calculation!$A$138,Calculation!C112,"")</f>
        <v/>
      </c>
      <c r="E113" s="52" t="str">
        <f>IF(Calculation!E112=Calculation!$A$138,Calculation!F112,"")</f>
        <v/>
      </c>
      <c r="F113" s="54" t="str">
        <f>IF(Calculation!E112=Calculation!$A$138,Calculation!G112,"")</f>
        <v/>
      </c>
      <c r="G113" s="54" t="str">
        <f>IF(Calculation!E112=Calculation!$A$138,Calculation!H112,"")</f>
        <v/>
      </c>
      <c r="H113" s="55"/>
    </row>
    <row r="114">
      <c r="A114" s="52" t="str">
        <f>IF(Calculation!E113=Calculation!$A$138,Calculation!B113,"")</f>
        <v/>
      </c>
      <c r="B114" s="53" t="str">
        <f>IF(Calculation!E113=Calculation!$A$136,Calculation!I113,"")</f>
        <v/>
      </c>
      <c r="C114" s="52" t="str">
        <f>IF(Calculation!E113=Calculation!$A$138,Calculation!D113,"")</f>
        <v/>
      </c>
      <c r="D114" s="52" t="str">
        <f>IF(Calculation!E113=Calculation!$A$138,Calculation!C113,"")</f>
        <v/>
      </c>
      <c r="E114" s="52" t="str">
        <f>IF(Calculation!E113=Calculation!$A$138,Calculation!F113,"")</f>
        <v/>
      </c>
      <c r="F114" s="54" t="str">
        <f>IF(Calculation!E113=Calculation!$A$138,Calculation!G113,"")</f>
        <v/>
      </c>
      <c r="G114" s="54" t="str">
        <f>IF(Calculation!E113=Calculation!$A$138,Calculation!H113,"")</f>
        <v/>
      </c>
      <c r="H114" s="55"/>
    </row>
    <row r="115">
      <c r="A115" s="52" t="str">
        <f>IF(Calculation!E114=Calculation!$A$138,Calculation!B114,"")</f>
        <v/>
      </c>
      <c r="B115" s="53" t="str">
        <f>IF(Calculation!E114=Calculation!$A$136,Calculation!I114,"")</f>
        <v/>
      </c>
      <c r="C115" s="52" t="str">
        <f>IF(Calculation!E114=Calculation!$A$138,Calculation!D114,"")</f>
        <v/>
      </c>
      <c r="D115" s="52" t="str">
        <f>IF(Calculation!E114=Calculation!$A$138,Calculation!C114,"")</f>
        <v/>
      </c>
      <c r="E115" s="52" t="str">
        <f>IF(Calculation!E114=Calculation!$A$138,Calculation!F114,"")</f>
        <v/>
      </c>
      <c r="F115" s="54" t="str">
        <f>IF(Calculation!E114=Calculation!$A$138,Calculation!G114,"")</f>
        <v/>
      </c>
      <c r="G115" s="54" t="str">
        <f>IF(Calculation!E114=Calculation!$A$138,Calculation!H114,"")</f>
        <v/>
      </c>
      <c r="H115" s="55"/>
    </row>
    <row r="116">
      <c r="A116" s="52" t="str">
        <f>IF(Calculation!E115=Calculation!$A$138,Calculation!B115,"")</f>
        <v/>
      </c>
      <c r="B116" s="53" t="str">
        <f>IF(Calculation!E115=Calculation!$A$136,Calculation!I115,"")</f>
        <v/>
      </c>
      <c r="C116" s="52" t="str">
        <f>IF(Calculation!E115=Calculation!$A$138,Calculation!D115,"")</f>
        <v/>
      </c>
      <c r="D116" s="52" t="str">
        <f>IF(Calculation!E115=Calculation!$A$138,Calculation!C115,"")</f>
        <v/>
      </c>
      <c r="E116" s="52" t="str">
        <f>IF(Calculation!E115=Calculation!$A$138,Calculation!F115,"")</f>
        <v/>
      </c>
      <c r="F116" s="54" t="str">
        <f>IF(Calculation!E115=Calculation!$A$138,Calculation!G115,"")</f>
        <v/>
      </c>
      <c r="G116" s="54" t="str">
        <f>IF(Calculation!E115=Calculation!$A$138,Calculation!H115,"")</f>
        <v/>
      </c>
      <c r="H116" s="55"/>
    </row>
    <row r="117">
      <c r="A117" s="52" t="str">
        <f>IF(Calculation!E116=Calculation!$A$138,Calculation!B116,"")</f>
        <v/>
      </c>
      <c r="B117" s="53" t="str">
        <f>IF(Calculation!E116=Calculation!$A$136,Calculation!I116,"")</f>
        <v/>
      </c>
      <c r="C117" s="52" t="str">
        <f>IF(Calculation!E116=Calculation!$A$138,Calculation!D116,"")</f>
        <v/>
      </c>
      <c r="D117" s="52" t="str">
        <f>IF(Calculation!E116=Calculation!$A$138,Calculation!C116,"")</f>
        <v/>
      </c>
      <c r="E117" s="52" t="str">
        <f>IF(Calculation!E116=Calculation!$A$138,Calculation!F116,"")</f>
        <v/>
      </c>
      <c r="F117" s="54" t="str">
        <f>IF(Calculation!E116=Calculation!$A$138,Calculation!G116,"")</f>
        <v/>
      </c>
      <c r="G117" s="54" t="str">
        <f>IF(Calculation!E116=Calculation!$A$138,Calculation!H116,"")</f>
        <v/>
      </c>
      <c r="H117" s="55"/>
    </row>
    <row r="118">
      <c r="A118" s="52" t="str">
        <f>IF(Calculation!E117=Calculation!$A$138,Calculation!B117,"")</f>
        <v/>
      </c>
      <c r="B118" s="53" t="str">
        <f>IF(Calculation!E117=Calculation!$A$136,Calculation!I117,"")</f>
        <v/>
      </c>
      <c r="C118" s="52" t="str">
        <f>IF(Calculation!E117=Calculation!$A$138,Calculation!D117,"")</f>
        <v/>
      </c>
      <c r="D118" s="52" t="str">
        <f>IF(Calculation!E117=Calculation!$A$138,Calculation!C117,"")</f>
        <v/>
      </c>
      <c r="E118" s="52" t="str">
        <f>IF(Calculation!E117=Calculation!$A$138,Calculation!F117,"")</f>
        <v/>
      </c>
      <c r="F118" s="54" t="str">
        <f>IF(Calculation!E117=Calculation!$A$138,Calculation!G117,"")</f>
        <v/>
      </c>
      <c r="G118" s="54" t="str">
        <f>IF(Calculation!E117=Calculation!$A$138,Calculation!H117,"")</f>
        <v/>
      </c>
      <c r="H118" s="55"/>
    </row>
    <row r="119">
      <c r="A119" s="52" t="str">
        <f>IF(Calculation!E118=Calculation!$A$138,Calculation!B118,"")</f>
        <v/>
      </c>
      <c r="B119" s="53" t="str">
        <f>IF(Calculation!E118=Calculation!$A$136,Calculation!I118,"")</f>
        <v/>
      </c>
      <c r="C119" s="52" t="str">
        <f>IF(Calculation!E118=Calculation!$A$138,Calculation!D118,"")</f>
        <v/>
      </c>
      <c r="D119" s="52" t="str">
        <f>IF(Calculation!E118=Calculation!$A$138,Calculation!C118,"")</f>
        <v/>
      </c>
      <c r="E119" s="52" t="str">
        <f>IF(Calculation!E118=Calculation!$A$138,Calculation!F118,"")</f>
        <v/>
      </c>
      <c r="F119" s="54" t="str">
        <f>IF(Calculation!E118=Calculation!$A$138,Calculation!G118,"")</f>
        <v/>
      </c>
      <c r="G119" s="54" t="str">
        <f>IF(Calculation!E118=Calculation!$A$138,Calculation!H118,"")</f>
        <v/>
      </c>
      <c r="H119" s="55"/>
    </row>
    <row r="120">
      <c r="A120" s="52" t="str">
        <f>IF(Calculation!E119=Calculation!$A$138,Calculation!B119,"")</f>
        <v/>
      </c>
      <c r="B120" s="53" t="str">
        <f>IF(Calculation!E119=Calculation!$A$136,Calculation!I119,"")</f>
        <v/>
      </c>
      <c r="C120" s="52" t="str">
        <f>IF(Calculation!E119=Calculation!$A$138,Calculation!D119,"")</f>
        <v/>
      </c>
      <c r="D120" s="52" t="str">
        <f>IF(Calculation!E119=Calculation!$A$138,Calculation!C119,"")</f>
        <v/>
      </c>
      <c r="E120" s="52" t="str">
        <f>IF(Calculation!E119=Calculation!$A$138,Calculation!F119,"")</f>
        <v/>
      </c>
      <c r="F120" s="54" t="str">
        <f>IF(Calculation!E119=Calculation!$A$138,Calculation!G119,"")</f>
        <v/>
      </c>
      <c r="G120" s="54" t="str">
        <f>IF(Calculation!E119=Calculation!$A$138,Calculation!H119,"")</f>
        <v/>
      </c>
      <c r="H120" s="55"/>
    </row>
    <row r="121">
      <c r="A121" s="52" t="str">
        <f>IF(Calculation!E120=Calculation!$A$138,Calculation!B120,"")</f>
        <v/>
      </c>
      <c r="B121" s="53" t="str">
        <f>IF(Calculation!E120=Calculation!$A$136,Calculation!I120,"")</f>
        <v/>
      </c>
      <c r="C121" s="52" t="str">
        <f>IF(Calculation!E120=Calculation!$A$138,Calculation!D120,"")</f>
        <v/>
      </c>
      <c r="D121" s="52" t="str">
        <f>IF(Calculation!E120=Calculation!$A$138,Calculation!C120,"")</f>
        <v/>
      </c>
      <c r="E121" s="52" t="str">
        <f>IF(Calculation!E120=Calculation!$A$138,Calculation!F120,"")</f>
        <v/>
      </c>
      <c r="F121" s="54" t="str">
        <f>IF(Calculation!E120=Calculation!$A$138,Calculation!G120,"")</f>
        <v/>
      </c>
      <c r="G121" s="54" t="str">
        <f>IF(Calculation!E120=Calculation!$A$138,Calculation!H120,"")</f>
        <v/>
      </c>
      <c r="H121" s="55"/>
    </row>
    <row r="122">
      <c r="A122" s="52" t="str">
        <f>IF(Calculation!E121=Calculation!$A$138,Calculation!B121,"")</f>
        <v/>
      </c>
      <c r="B122" s="53" t="str">
        <f>IF(Calculation!E121=Calculation!$A$136,Calculation!I121,"")</f>
        <v/>
      </c>
      <c r="C122" s="52" t="str">
        <f>IF(Calculation!E121=Calculation!$A$138,Calculation!D121,"")</f>
        <v/>
      </c>
      <c r="D122" s="52" t="str">
        <f>IF(Calculation!E121=Calculation!$A$138,Calculation!C121,"")</f>
        <v/>
      </c>
      <c r="E122" s="52" t="str">
        <f>IF(Calculation!E121=Calculation!$A$138,Calculation!F121,"")</f>
        <v/>
      </c>
      <c r="F122" s="54" t="str">
        <f>IF(Calculation!E121=Calculation!$A$138,Calculation!G121,"")</f>
        <v/>
      </c>
      <c r="G122" s="54" t="str">
        <f>IF(Calculation!E121=Calculation!$A$138,Calculation!H121,"")</f>
        <v/>
      </c>
      <c r="H122" s="55"/>
    </row>
    <row r="123">
      <c r="A123" s="52" t="str">
        <f>IF(Calculation!E122=Calculation!$A$138,Calculation!B122,"")</f>
        <v/>
      </c>
      <c r="B123" s="53" t="str">
        <f>IF(Calculation!E122=Calculation!$A$136,Calculation!I122,"")</f>
        <v/>
      </c>
      <c r="C123" s="52" t="str">
        <f>IF(Calculation!E122=Calculation!$A$138,Calculation!D122,"")</f>
        <v/>
      </c>
      <c r="D123" s="52" t="str">
        <f>IF(Calculation!E122=Calculation!$A$138,Calculation!C122,"")</f>
        <v/>
      </c>
      <c r="E123" s="52" t="str">
        <f>IF(Calculation!E122=Calculation!$A$138,Calculation!F122,"")</f>
        <v/>
      </c>
      <c r="F123" s="54" t="str">
        <f>IF(Calculation!E122=Calculation!$A$138,Calculation!G122,"")</f>
        <v/>
      </c>
      <c r="G123" s="54" t="str">
        <f>IF(Calculation!E122=Calculation!$A$138,Calculation!H122,"")</f>
        <v/>
      </c>
      <c r="H123" s="55"/>
    </row>
    <row r="124">
      <c r="A124" s="52" t="str">
        <f>IF(Calculation!E123=Calculation!$A$138,Calculation!B123,"")</f>
        <v/>
      </c>
      <c r="B124" s="53" t="str">
        <f>IF(Calculation!E123=Calculation!$A$136,Calculation!I123,"")</f>
        <v/>
      </c>
      <c r="C124" s="52" t="str">
        <f>IF(Calculation!E123=Calculation!$A$138,Calculation!D123,"")</f>
        <v/>
      </c>
      <c r="D124" s="52" t="str">
        <f>IF(Calculation!E123=Calculation!$A$138,Calculation!C123,"")</f>
        <v/>
      </c>
      <c r="E124" s="52" t="str">
        <f>IF(Calculation!E123=Calculation!$A$138,Calculation!F123,"")</f>
        <v/>
      </c>
      <c r="F124" s="54" t="str">
        <f>IF(Calculation!E123=Calculation!$A$138,Calculation!G123,"")</f>
        <v/>
      </c>
      <c r="G124" s="54" t="str">
        <f>IF(Calculation!E123=Calculation!$A$138,Calculation!H123,"")</f>
        <v/>
      </c>
      <c r="H124" s="55"/>
    </row>
    <row r="125">
      <c r="A125" s="52" t="str">
        <f>IF(Calculation!E124=Calculation!$A$138,Calculation!B124,"")</f>
        <v/>
      </c>
      <c r="B125" s="53" t="str">
        <f>IF(Calculation!E124=Calculation!$A$136,Calculation!I124,"")</f>
        <v/>
      </c>
      <c r="C125" s="52" t="str">
        <f>IF(Calculation!E124=Calculation!$A$138,Calculation!D124,"")</f>
        <v/>
      </c>
      <c r="D125" s="52" t="str">
        <f>IF(Calculation!E124=Calculation!$A$138,Calculation!C124,"")</f>
        <v/>
      </c>
      <c r="E125" s="52" t="str">
        <f>IF(Calculation!E124=Calculation!$A$138,Calculation!F124,"")</f>
        <v/>
      </c>
      <c r="F125" s="54" t="str">
        <f>IF(Calculation!E124=Calculation!$A$138,Calculation!G124,"")</f>
        <v/>
      </c>
      <c r="G125" s="54" t="str">
        <f>IF(Calculation!E124=Calculation!$A$138,Calculation!H124,"")</f>
        <v/>
      </c>
      <c r="H125" s="55"/>
    </row>
    <row r="126">
      <c r="A126" s="52" t="str">
        <f>IF(Calculation!E125=Calculation!$A$138,Calculation!B125,"")</f>
        <v/>
      </c>
      <c r="B126" s="53" t="str">
        <f>IF(Calculation!E125=Calculation!$A$136,Calculation!I125,"")</f>
        <v/>
      </c>
      <c r="C126" s="52" t="str">
        <f>IF(Calculation!E125=Calculation!$A$138,Calculation!D125,"")</f>
        <v/>
      </c>
      <c r="D126" s="52" t="str">
        <f>IF(Calculation!E125=Calculation!$A$138,Calculation!C125,"")</f>
        <v/>
      </c>
      <c r="E126" s="52" t="str">
        <f>IF(Calculation!E125=Calculation!$A$138,Calculation!F125,"")</f>
        <v/>
      </c>
      <c r="F126" s="54" t="str">
        <f>IF(Calculation!E125=Calculation!$A$138,Calculation!G125,"")</f>
        <v/>
      </c>
      <c r="G126" s="54" t="str">
        <f>IF(Calculation!E125=Calculation!$A$138,Calculation!H125,"")</f>
        <v/>
      </c>
      <c r="H126" s="55"/>
    </row>
  </sheetData>
  <mergeCells count="37">
    <mergeCell ref="A1:H1"/>
    <mergeCell ref="L23:O23"/>
    <mergeCell ref="L24:O24"/>
    <mergeCell ref="L25:O25"/>
    <mergeCell ref="L26:N26"/>
    <mergeCell ref="L28:P28"/>
    <mergeCell ref="O29:P29"/>
    <mergeCell ref="L29:N29"/>
    <mergeCell ref="L30:N30"/>
    <mergeCell ref="O30:P30"/>
    <mergeCell ref="Q30:R30"/>
    <mergeCell ref="L31:N31"/>
    <mergeCell ref="O31:P31"/>
    <mergeCell ref="Q31:R31"/>
    <mergeCell ref="O34:P34"/>
    <mergeCell ref="Q34:R34"/>
    <mergeCell ref="L32:N32"/>
    <mergeCell ref="O32:P32"/>
    <mergeCell ref="Q32:R32"/>
    <mergeCell ref="L33:N33"/>
    <mergeCell ref="O33:P33"/>
    <mergeCell ref="Q33:R33"/>
    <mergeCell ref="L34:N34"/>
    <mergeCell ref="L40:O40"/>
    <mergeCell ref="L41:O41"/>
    <mergeCell ref="L42:O42"/>
    <mergeCell ref="L43:O43"/>
    <mergeCell ref="N45:P45"/>
    <mergeCell ref="N46:P46"/>
    <mergeCell ref="Q47:R47"/>
    <mergeCell ref="L35:N35"/>
    <mergeCell ref="O35:P35"/>
    <mergeCell ref="Q35:R35"/>
    <mergeCell ref="L36:N36"/>
    <mergeCell ref="O36:P36"/>
    <mergeCell ref="Q36:R36"/>
    <mergeCell ref="L38:O38"/>
  </mergeCells>
  <dataValidations>
    <dataValidation type="custom" allowBlank="1" showDropDown="1" sqref="O29 Q35">
      <formula1>OR(NOT(ISERROR(DATEVALUE(O29))), AND(ISNUMBER(O29), LEFT(CELL("format", O29))="D"))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9.13"/>
    <col customWidth="1" min="3" max="3" width="18.63"/>
    <col customWidth="1" min="4" max="4" width="17.63"/>
    <col customWidth="1" min="5" max="5" width="18.75"/>
    <col customWidth="1" min="6" max="6" width="19.25"/>
    <col customWidth="1" min="7" max="8" width="17.38"/>
    <col customWidth="1" min="9" max="9" width="15.13"/>
  </cols>
  <sheetData>
    <row r="1" ht="42.0" customHeight="1">
      <c r="A1" s="49" t="s">
        <v>87</v>
      </c>
      <c r="I1" s="50"/>
      <c r="L1" s="59"/>
      <c r="M1" s="59"/>
      <c r="N1" s="59"/>
      <c r="O1" s="60"/>
      <c r="P1" s="59"/>
      <c r="Q1" s="59"/>
      <c r="R1" s="59"/>
      <c r="S1" s="59"/>
      <c r="T1" s="61"/>
    </row>
    <row r="2" ht="29.25" customHeight="1">
      <c r="A2" s="51" t="s">
        <v>45</v>
      </c>
      <c r="B2" s="51" t="s">
        <v>46</v>
      </c>
      <c r="C2" s="51" t="s">
        <v>47</v>
      </c>
      <c r="D2" s="51" t="s">
        <v>48</v>
      </c>
      <c r="E2" s="51" t="s">
        <v>49</v>
      </c>
      <c r="F2" s="51" t="s">
        <v>50</v>
      </c>
      <c r="G2" s="51" t="s">
        <v>51</v>
      </c>
      <c r="H2" s="51" t="s">
        <v>52</v>
      </c>
      <c r="L2" s="62"/>
      <c r="M2" s="62"/>
      <c r="N2" s="62"/>
      <c r="O2" s="63"/>
      <c r="P2" s="62"/>
      <c r="Q2" s="62"/>
      <c r="R2" s="62"/>
      <c r="S2" s="62"/>
      <c r="T2" s="64"/>
    </row>
    <row r="3" ht="18.75" customHeight="1">
      <c r="A3" s="52" t="str">
        <f>IF(Calculation!E3=Calculation!$A$139,Calculation!B3,"")</f>
        <v/>
      </c>
      <c r="B3" s="53" t="str">
        <f>IF(Calculation!E3=Calculation!$A$139,Calculation!I3,"")</f>
        <v/>
      </c>
      <c r="C3" s="52" t="str">
        <f>IF(Calculation!E3=Calculation!$A$139,Calculation!D3,"")</f>
        <v/>
      </c>
      <c r="D3" s="52" t="str">
        <f>IF(Calculation!E3=Calculation!$A$139,Calculation!C3,"")</f>
        <v/>
      </c>
      <c r="E3" s="52" t="str">
        <f>IF(Calculation!E3=Calculation!$A$139,Calculation!F3,"")</f>
        <v/>
      </c>
      <c r="F3" s="54" t="str">
        <f>IF(Calculation!E3=Calculation!$A$139,Calculation!G3,"")</f>
        <v/>
      </c>
      <c r="G3" s="54" t="str">
        <f>IF(Calculation!E3=Calculation!$A$139,Calculation!H3,"")</f>
        <v/>
      </c>
      <c r="H3" s="110">
        <f>SUMPRODUCT(((Calculation!E3:E125=Calculation!$A$139)+(Calculation!D3:D125=Calculation!$A$139)&gt;0)*(Calculation!K3:K125))</f>
        <v>5949.5</v>
      </c>
      <c r="L3" s="65" t="s">
        <v>53</v>
      </c>
      <c r="P3" s="62"/>
      <c r="Q3" s="62"/>
      <c r="R3" s="62"/>
      <c r="S3" s="62"/>
      <c r="T3" s="64"/>
    </row>
    <row r="4" ht="20.25" customHeight="1">
      <c r="A4" s="52" t="str">
        <f>IF(Calculation!E4=Calculation!$A$139,Calculation!B4,"")</f>
        <v/>
      </c>
      <c r="B4" s="53" t="str">
        <f>IF(Calculation!E4=Calculation!$A$139,Calculation!I4,"")</f>
        <v/>
      </c>
      <c r="C4" s="52" t="str">
        <f>IF(Calculation!E4=Calculation!$A$139,Calculation!D4,"")</f>
        <v/>
      </c>
      <c r="D4" s="52" t="str">
        <f>IF(Calculation!E4=Calculation!$A$139,Calculation!C4,"")</f>
        <v/>
      </c>
      <c r="E4" s="52" t="str">
        <f>IF(Calculation!E4=Calculation!$A$139,Calculation!F4,"")</f>
        <v/>
      </c>
      <c r="F4" s="54" t="str">
        <f>IF(Calculation!E4=Calculation!$A$139,Calculation!G4,"")</f>
        <v/>
      </c>
      <c r="G4" s="54" t="str">
        <f>IF(Calculation!E4=Calculation!$A$139,Calculation!H4,"")</f>
        <v/>
      </c>
      <c r="H4" s="55"/>
      <c r="L4" s="106" t="s">
        <v>75</v>
      </c>
      <c r="P4" s="62"/>
      <c r="Q4" s="62"/>
      <c r="R4" s="62"/>
      <c r="S4" s="62"/>
      <c r="T4" s="64"/>
    </row>
    <row r="5">
      <c r="A5" s="52" t="str">
        <f>IF(Calculation!E5=Calculation!$A$139,Calculation!B5,"")</f>
        <v/>
      </c>
      <c r="B5" s="53" t="str">
        <f>IF(Calculation!E5=Calculation!$A$139,Calculation!I5,"")</f>
        <v/>
      </c>
      <c r="C5" s="52" t="str">
        <f>IF(Calculation!E5=Calculation!$A$139,Calculation!D5,"")</f>
        <v/>
      </c>
      <c r="D5" s="52" t="str">
        <f>IF(Calculation!E5=Calculation!$A$139,Calculation!C5,"")</f>
        <v/>
      </c>
      <c r="E5" s="52" t="str">
        <f>IF(Calculation!E5=Calculation!$A$139,Calculation!F5,"")</f>
        <v/>
      </c>
      <c r="F5" s="54" t="str">
        <f>IF(Calculation!E5=Calculation!$A$139,Calculation!G5,"")</f>
        <v/>
      </c>
      <c r="G5" s="54" t="str">
        <f>IF(Calculation!E5=Calculation!$A$139,Calculation!H5,"")</f>
        <v/>
      </c>
      <c r="H5" s="55"/>
      <c r="L5" s="107" t="s">
        <v>76</v>
      </c>
      <c r="P5" s="62"/>
      <c r="Q5" s="62"/>
      <c r="R5" s="62"/>
      <c r="S5" s="62"/>
      <c r="T5" s="64"/>
    </row>
    <row r="6">
      <c r="A6" s="52" t="str">
        <f>IF(Calculation!E6=Calculation!$A$139,Calculation!B6,"")</f>
        <v/>
      </c>
      <c r="B6" s="53" t="str">
        <f>IF(Calculation!E6=Calculation!$A$139,Calculation!I6,"")</f>
        <v/>
      </c>
      <c r="C6" s="52" t="str">
        <f>IF(Calculation!E6=Calculation!$A$139,Calculation!D6,"")</f>
        <v/>
      </c>
      <c r="D6" s="52" t="str">
        <f>IF(Calculation!E6=Calculation!$A$139,Calculation!C6,"")</f>
        <v/>
      </c>
      <c r="E6" s="52" t="str">
        <f>IF(Calculation!E6=Calculation!$A$139,Calculation!F6,"")</f>
        <v/>
      </c>
      <c r="F6" s="54" t="str">
        <f>IF(Calculation!E6=Calculation!$A$139,Calculation!G6,"")</f>
        <v/>
      </c>
      <c r="G6" s="54" t="str">
        <f>IF(Calculation!E6=Calculation!$A$139,Calculation!H6,"")</f>
        <v/>
      </c>
      <c r="H6" s="55"/>
      <c r="L6" s="78" t="s">
        <v>77</v>
      </c>
      <c r="O6" s="72"/>
      <c r="P6" s="69"/>
      <c r="Q6" s="69"/>
      <c r="R6" s="69"/>
      <c r="S6" s="69"/>
      <c r="T6" s="70"/>
    </row>
    <row r="7">
      <c r="A7" s="52" t="str">
        <f>IF(Calculation!E7=Calculation!$A$139,Calculation!B7,"")</f>
        <v/>
      </c>
      <c r="B7" s="53" t="str">
        <f>IF(Calculation!E7=Calculation!$A$139,Calculation!I7,"")</f>
        <v/>
      </c>
      <c r="C7" s="52" t="str">
        <f>IF(Calculation!E7=Calculation!$A$139,Calculation!D7,"")</f>
        <v/>
      </c>
      <c r="D7" s="52" t="str">
        <f>IF(Calculation!E7=Calculation!$A$139,Calculation!C7,"")</f>
        <v/>
      </c>
      <c r="E7" s="52" t="str">
        <f>IF(Calculation!E7=Calculation!$A$139,Calculation!F7,"")</f>
        <v/>
      </c>
      <c r="F7" s="54" t="str">
        <f>IF(Calculation!E7=Calculation!$A$139,Calculation!G7,"")</f>
        <v/>
      </c>
      <c r="G7" s="54" t="str">
        <f>IF(Calculation!E7=Calculation!$A$139,Calculation!H7,"")</f>
        <v/>
      </c>
      <c r="H7" s="55"/>
      <c r="L7" s="62"/>
      <c r="M7" s="62"/>
      <c r="N7" s="62"/>
      <c r="O7" s="62"/>
      <c r="P7" s="62"/>
      <c r="Q7" s="62"/>
      <c r="R7" s="62"/>
      <c r="S7" s="62"/>
      <c r="T7" s="64"/>
    </row>
    <row r="8">
      <c r="A8" s="52" t="str">
        <f>IF(Calculation!E8=Calculation!$A$139,Calculation!B8,"")</f>
        <v/>
      </c>
      <c r="B8" s="53" t="str">
        <f>IF(Calculation!E8=Calculation!$A$139,Calculation!I8,"")</f>
        <v/>
      </c>
      <c r="C8" s="52" t="str">
        <f>IF(Calculation!E8=Calculation!$A$139,Calculation!D8,"")</f>
        <v/>
      </c>
      <c r="D8" s="52" t="str">
        <f>IF(Calculation!E8=Calculation!$A$139,Calculation!C8,"")</f>
        <v/>
      </c>
      <c r="E8" s="52" t="str">
        <f>IF(Calculation!E8=Calculation!$A$139,Calculation!F8,"")</f>
        <v/>
      </c>
      <c r="F8" s="54" t="str">
        <f>IF(Calculation!E8=Calculation!$A$139,Calculation!G8,"")</f>
        <v/>
      </c>
      <c r="G8" s="54" t="str">
        <f>IF(Calculation!E8=Calculation!$A$139,Calculation!H8,"")</f>
        <v/>
      </c>
      <c r="H8" s="55"/>
      <c r="L8" s="108" t="s">
        <v>78</v>
      </c>
      <c r="Q8" s="62"/>
      <c r="R8" s="62"/>
      <c r="S8" s="69"/>
      <c r="T8" s="70"/>
    </row>
    <row r="9">
      <c r="A9" s="52" t="str">
        <f>IF(Calculation!E9=Calculation!$A$139,Calculation!B9,"")</f>
        <v/>
      </c>
      <c r="B9" s="53" t="str">
        <f>IF(Calculation!E9=Calculation!$A$139,Calculation!I9,"")</f>
        <v/>
      </c>
      <c r="C9" s="52" t="str">
        <f>IF(Calculation!E9=Calculation!$A$139,Calculation!D9,"")</f>
        <v/>
      </c>
      <c r="D9" s="52" t="str">
        <f>IF(Calculation!E9=Calculation!$A$139,Calculation!C9,"")</f>
        <v/>
      </c>
      <c r="E9" s="52" t="str">
        <f>IF(Calculation!E9=Calculation!$A$139,Calculation!F9,"")</f>
        <v/>
      </c>
      <c r="F9" s="54" t="str">
        <f>IF(Calculation!E9=Calculation!$A$139,Calculation!G9,"")</f>
        <v/>
      </c>
      <c r="G9" s="54" t="str">
        <f>IF(Calculation!E9=Calculation!$A$139,Calculation!H9,"")</f>
        <v/>
      </c>
      <c r="H9" s="55"/>
      <c r="L9" s="74" t="s">
        <v>58</v>
      </c>
      <c r="O9" s="75">
        <v>45462.0</v>
      </c>
      <c r="Q9" s="62"/>
      <c r="R9" s="62"/>
      <c r="S9" s="69"/>
      <c r="T9" s="70"/>
    </row>
    <row r="10">
      <c r="A10" s="52" t="str">
        <f>IF(Calculation!E10=Calculation!$A$139,Calculation!B10,"")</f>
        <v/>
      </c>
      <c r="B10" s="53" t="str">
        <f>IF(Calculation!E10=Calculation!$A$139,Calculation!I10,"")</f>
        <v/>
      </c>
      <c r="C10" s="52" t="str">
        <f>IF(Calculation!E10=Calculation!$A$139,Calculation!D10,"")</f>
        <v/>
      </c>
      <c r="D10" s="52" t="str">
        <f>IF(Calculation!E10=Calculation!$A$139,Calculation!C10,"")</f>
        <v/>
      </c>
      <c r="E10" s="52" t="str">
        <f>IF(Calculation!E10=Calculation!$A$139,Calculation!F10,"")</f>
        <v/>
      </c>
      <c r="F10" s="54" t="str">
        <f>IF(Calculation!E10=Calculation!$A$139,Calculation!G10,"")</f>
        <v/>
      </c>
      <c r="G10" s="54" t="str">
        <f>IF(Calculation!E10=Calculation!$A$139,Calculation!H10,"")</f>
        <v/>
      </c>
      <c r="H10" s="55"/>
      <c r="L10" s="76"/>
      <c r="O10" s="62"/>
      <c r="Q10" s="62"/>
      <c r="S10" s="69"/>
      <c r="T10" s="70"/>
    </row>
    <row r="11">
      <c r="A11" s="52" t="str">
        <f>IF(Calculation!E11=Calculation!$A$139,Calculation!B11,"")</f>
        <v/>
      </c>
      <c r="B11" s="53" t="str">
        <f>IF(Calculation!E11=Calculation!$A$139,Calculation!I11,"")</f>
        <v/>
      </c>
      <c r="C11" s="52" t="str">
        <f>IF(Calculation!E11=Calculation!$A$139,Calculation!D11,"")</f>
        <v/>
      </c>
      <c r="D11" s="52" t="str">
        <f>IF(Calculation!E11=Calculation!$A$139,Calculation!C11,"")</f>
        <v/>
      </c>
      <c r="E11" s="52" t="str">
        <f>IF(Calculation!E11=Calculation!$A$139,Calculation!F11,"")</f>
        <v/>
      </c>
      <c r="F11" s="54" t="str">
        <f>IF(Calculation!E11=Calculation!$A$139,Calculation!G11,"")</f>
        <v/>
      </c>
      <c r="G11" s="54" t="str">
        <f>IF(Calculation!E11=Calculation!$A$139,Calculation!H11,"")</f>
        <v/>
      </c>
      <c r="H11" s="55"/>
      <c r="L11" s="77" t="s">
        <v>59</v>
      </c>
      <c r="O11" s="77" t="s">
        <v>60</v>
      </c>
      <c r="Q11" s="77" t="s">
        <v>61</v>
      </c>
      <c r="S11" s="69"/>
      <c r="T11" s="70"/>
    </row>
    <row r="12">
      <c r="A12" s="52" t="str">
        <f>IF(Calculation!E12=Calculation!$A$139,Calculation!B12,"")</f>
        <v/>
      </c>
      <c r="B12" s="53" t="str">
        <f>IF(Calculation!E12=Calculation!$A$139,Calculation!I12,"")</f>
        <v/>
      </c>
      <c r="C12" s="52" t="str">
        <f>IF(Calculation!E12=Calculation!$A$139,Calculation!D12,"")</f>
        <v/>
      </c>
      <c r="D12" s="52" t="str">
        <f>IF(Calculation!E12=Calculation!$A$139,Calculation!C12,"")</f>
        <v/>
      </c>
      <c r="E12" s="52" t="str">
        <f>IF(Calculation!E12=Calculation!$A$139,Calculation!F12,"")</f>
        <v/>
      </c>
      <c r="F12" s="54" t="str">
        <f>IF(Calculation!E12=Calculation!$A$139,Calculation!G12,"")</f>
        <v/>
      </c>
      <c r="G12" s="54" t="str">
        <f>IF(Calculation!E12=Calculation!$A$139,Calculation!H12,"")</f>
        <v/>
      </c>
      <c r="H12" s="55"/>
      <c r="L12" s="78" t="str">
        <f>Calculation!A152</f>
        <v/>
      </c>
      <c r="O12" s="78" t="str">
        <f>Calculation!A152</f>
        <v/>
      </c>
      <c r="Q12" s="79">
        <v>123456.0</v>
      </c>
      <c r="S12" s="69"/>
      <c r="T12" s="70"/>
    </row>
    <row r="13">
      <c r="A13" s="52" t="str">
        <f>IF(Calculation!E13=Calculation!$A$139,Calculation!B13,"")</f>
        <v/>
      </c>
      <c r="B13" s="53" t="str">
        <f>IF(Calculation!E13=Calculation!$A$139,Calculation!I13,"")</f>
        <v/>
      </c>
      <c r="C13" s="52" t="str">
        <f>IF(Calculation!E13=Calculation!$A$139,Calculation!D13,"")</f>
        <v/>
      </c>
      <c r="D13" s="52" t="str">
        <f>IF(Calculation!E13=Calculation!$A$139,Calculation!C13,"")</f>
        <v/>
      </c>
      <c r="E13" s="52" t="str">
        <f>IF(Calculation!E13=Calculation!$A$139,Calculation!F13,"")</f>
        <v/>
      </c>
      <c r="F13" s="54" t="str">
        <f>IF(Calculation!E13=Calculation!$A$139,Calculation!G13,"")</f>
        <v/>
      </c>
      <c r="G13" s="54" t="str">
        <f>IF(Calculation!E13=Calculation!$A$139,Calculation!H13,"")</f>
        <v/>
      </c>
      <c r="H13" s="55"/>
      <c r="L13" s="78" t="s">
        <v>62</v>
      </c>
      <c r="O13" s="72"/>
      <c r="Q13" s="62"/>
      <c r="S13" s="69"/>
      <c r="T13" s="70"/>
    </row>
    <row r="14">
      <c r="A14" s="52" t="str">
        <f>IF(Calculation!E14=Calculation!$A$139,Calculation!B14,"")</f>
        <v/>
      </c>
      <c r="B14" s="53" t="str">
        <f>IF(Calculation!E14=Calculation!$A$139,Calculation!I14,"")</f>
        <v/>
      </c>
      <c r="C14" s="52" t="str">
        <f>IF(Calculation!E14=Calculation!$A$139,Calculation!D14,"")</f>
        <v/>
      </c>
      <c r="D14" s="52" t="str">
        <f>IF(Calculation!E14=Calculation!$A$139,Calculation!C14,"")</f>
        <v/>
      </c>
      <c r="E14" s="52" t="str">
        <f>IF(Calculation!E14=Calculation!$A$139,Calculation!F14,"")</f>
        <v/>
      </c>
      <c r="F14" s="54" t="str">
        <f>IF(Calculation!E14=Calculation!$A$139,Calculation!G14,"")</f>
        <v/>
      </c>
      <c r="G14" s="54" t="str">
        <f>IF(Calculation!E14=Calculation!$A$139,Calculation!H14,"")</f>
        <v/>
      </c>
      <c r="H14" s="55"/>
      <c r="L14" s="78" t="s">
        <v>63</v>
      </c>
      <c r="O14" s="80" t="s">
        <v>64</v>
      </c>
      <c r="Q14" s="80" t="s">
        <v>65</v>
      </c>
      <c r="S14" s="69"/>
      <c r="T14" s="70"/>
    </row>
    <row r="15">
      <c r="A15" s="52" t="str">
        <f>IF(Calculation!E15=Calculation!$A$139,Calculation!B15,"")</f>
        <v/>
      </c>
      <c r="B15" s="53" t="str">
        <f>IF(Calculation!E15=Calculation!$A$139,Calculation!I15,"")</f>
        <v/>
      </c>
      <c r="C15" s="52" t="str">
        <f>IF(Calculation!E15=Calculation!$A$139,Calculation!D15,"")</f>
        <v/>
      </c>
      <c r="D15" s="52" t="str">
        <f>IF(Calculation!E15=Calculation!$A$139,Calculation!C15,"")</f>
        <v/>
      </c>
      <c r="E15" s="52" t="str">
        <f>IF(Calculation!E15=Calculation!$A$139,Calculation!F15,"")</f>
        <v/>
      </c>
      <c r="F15" s="54" t="str">
        <f>IF(Calculation!E15=Calculation!$A$139,Calculation!G15,"")</f>
        <v/>
      </c>
      <c r="G15" s="54" t="str">
        <f>IF(Calculation!E15=Calculation!$A$139,Calculation!H15,"")</f>
        <v/>
      </c>
      <c r="H15" s="55"/>
      <c r="L15" s="78" t="s">
        <v>66</v>
      </c>
      <c r="O15" s="78" t="s">
        <v>67</v>
      </c>
      <c r="Q15" s="75">
        <v>36531.0</v>
      </c>
      <c r="S15" s="69"/>
      <c r="T15" s="70"/>
    </row>
    <row r="16">
      <c r="A16" s="52" t="str">
        <f>IF(Calculation!E16=Calculation!$A$139,Calculation!B16,"")</f>
        <v/>
      </c>
      <c r="B16" s="53" t="str">
        <f>IF(Calculation!E16=Calculation!$A$139,Calculation!I16,"")</f>
        <v/>
      </c>
      <c r="C16" s="52" t="str">
        <f>IF(Calculation!E16=Calculation!$A$139,Calculation!D16,"")</f>
        <v/>
      </c>
      <c r="D16" s="52" t="str">
        <f>IF(Calculation!E16=Calculation!$A$139,Calculation!C16,"")</f>
        <v/>
      </c>
      <c r="E16" s="52" t="str">
        <f>IF(Calculation!E16=Calculation!$A$139,Calculation!F16,"")</f>
        <v/>
      </c>
      <c r="F16" s="54" t="str">
        <f>IF(Calculation!E16=Calculation!$A$139,Calculation!G16,"")</f>
        <v/>
      </c>
      <c r="G16" s="54" t="str">
        <f>IF(Calculation!E16=Calculation!$A$139,Calculation!H16,"")</f>
        <v/>
      </c>
      <c r="H16" s="55"/>
      <c r="L16" s="81"/>
      <c r="M16" s="82"/>
      <c r="N16" s="82"/>
      <c r="O16" s="81"/>
      <c r="P16" s="82"/>
      <c r="Q16" s="81"/>
      <c r="R16" s="82"/>
      <c r="S16" s="62"/>
      <c r="T16" s="64"/>
    </row>
    <row r="17">
      <c r="A17" s="52" t="str">
        <f>IF(Calculation!E17=Calculation!$A$139,Calculation!B17,"")</f>
        <v/>
      </c>
      <c r="B17" s="53" t="str">
        <f>IF(Calculation!E17=Calculation!$A$139,Calculation!I17,"")</f>
        <v/>
      </c>
      <c r="C17" s="52" t="str">
        <f>IF(Calculation!E17=Calculation!$A$139,Calculation!D17,"")</f>
        <v/>
      </c>
      <c r="D17" s="52" t="str">
        <f>IF(Calculation!E17=Calculation!$A$139,Calculation!C17,"")</f>
        <v/>
      </c>
      <c r="E17" s="52" t="str">
        <f>IF(Calculation!E17=Calculation!$A$139,Calculation!F17,"")</f>
        <v/>
      </c>
      <c r="F17" s="54" t="str">
        <f>IF(Calculation!E17=Calculation!$A$139,Calculation!G17,"")</f>
        <v/>
      </c>
      <c r="G17" s="54" t="str">
        <f>IF(Calculation!E17=Calculation!$A$139,Calculation!H17,"")</f>
        <v/>
      </c>
      <c r="H17" s="55"/>
      <c r="L17" s="62"/>
      <c r="M17" s="62"/>
      <c r="N17" s="62"/>
      <c r="O17" s="62"/>
      <c r="P17" s="69"/>
      <c r="Q17" s="62"/>
      <c r="R17" s="62"/>
      <c r="S17" s="69"/>
      <c r="T17" s="70"/>
    </row>
    <row r="18">
      <c r="A18" s="52" t="str">
        <f>IF(Calculation!E18=Calculation!$A$139,Calculation!B18,"")</f>
        <v/>
      </c>
      <c r="B18" s="53" t="str">
        <f>IF(Calculation!E18=Calculation!$A$139,Calculation!I18,"")</f>
        <v/>
      </c>
      <c r="C18" s="52" t="str">
        <f>IF(Calculation!E18=Calculation!$A$139,Calculation!D18,"")</f>
        <v/>
      </c>
      <c r="D18" s="52" t="str">
        <f>IF(Calculation!E18=Calculation!$A$139,Calculation!C18,"")</f>
        <v/>
      </c>
      <c r="E18" s="52" t="str">
        <f>IF(Calculation!E18=Calculation!$A$139,Calculation!F18,"")</f>
        <v/>
      </c>
      <c r="F18" s="54" t="str">
        <f>IF(Calculation!E18=Calculation!$A$139,Calculation!G18,"")</f>
        <v/>
      </c>
      <c r="G18" s="54" t="str">
        <f>IF(Calculation!E18=Calculation!$A$139,Calculation!H18,"")</f>
        <v/>
      </c>
      <c r="H18" s="55"/>
      <c r="L18" s="83" t="s">
        <v>68</v>
      </c>
      <c r="P18" s="84" t="s">
        <v>49</v>
      </c>
      <c r="Q18" s="84" t="s">
        <v>69</v>
      </c>
      <c r="R18" s="84" t="s">
        <v>70</v>
      </c>
      <c r="S18" s="69"/>
      <c r="T18" s="70"/>
    </row>
    <row r="19" ht="23.25" customHeight="1">
      <c r="A19" s="52"/>
      <c r="B19" s="53"/>
      <c r="C19" s="52"/>
      <c r="D19" s="52"/>
      <c r="E19" s="52"/>
      <c r="F19" s="54"/>
      <c r="G19" s="54"/>
      <c r="H19" s="55"/>
      <c r="L19" s="85" t="s">
        <v>85</v>
      </c>
      <c r="M19" s="85"/>
      <c r="N19" s="85"/>
      <c r="O19" s="85"/>
      <c r="P19" s="126">
        <v>1.0</v>
      </c>
      <c r="Q19" s="121">
        <f>SUMIF(Calculation!$D$3:$D$125,Calculation!A139,Calculation!$J$3:$J$125)</f>
        <v>5669.5</v>
      </c>
      <c r="R19" s="122">
        <f t="shared" ref="R19:R24" si="1">product(P19,Q19)</f>
        <v>5669.5</v>
      </c>
      <c r="S19" s="69"/>
      <c r="T19" s="70"/>
    </row>
    <row r="20" ht="23.25" customHeight="1">
      <c r="A20" s="52" t="str">
        <f>IF(Calculation!E19=Calculation!$A$139,Calculation!B19,"")</f>
        <v/>
      </c>
      <c r="B20" s="53" t="str">
        <f>IF(Calculation!E19=Calculation!$A$139,Calculation!I19,"")</f>
        <v/>
      </c>
      <c r="C20" s="52" t="str">
        <f>IF(Calculation!E19=Calculation!$A$139,Calculation!D19,"")</f>
        <v/>
      </c>
      <c r="D20" s="52" t="str">
        <f>IF(Calculation!E19=Calculation!$A$139,Calculation!C19,"")</f>
        <v/>
      </c>
      <c r="E20" s="52" t="str">
        <f>IF(Calculation!E19=Calculation!$A$139,Calculation!F19,"")</f>
        <v/>
      </c>
      <c r="F20" s="54" t="str">
        <f>IF(Calculation!E19=Calculation!$A$139,Calculation!G19,"")</f>
        <v/>
      </c>
      <c r="G20" s="54" t="str">
        <f>IF(Calculation!E19=Calculation!$A$139,Calculation!H19,"")</f>
        <v/>
      </c>
      <c r="H20" s="55"/>
      <c r="L20" s="85" t="s">
        <v>34</v>
      </c>
      <c r="P20" s="86">
        <f>SUMIFS(Calculation!$F$3:$F$125,Calculation!$C$3:$C$125,Calculation!B135,Calculation!$E$3:$E$125,Calculation!A139)</f>
        <v>0</v>
      </c>
      <c r="Q20" s="121">
        <f>(Calculation!B136)</f>
        <v>312.5</v>
      </c>
      <c r="R20" s="122">
        <f t="shared" si="1"/>
        <v>0</v>
      </c>
      <c r="S20" s="69"/>
      <c r="T20" s="70"/>
    </row>
    <row r="21" ht="18.0" customHeight="1">
      <c r="A21" s="52" t="str">
        <f>IF(Calculation!E20=Calculation!$A$139,Calculation!B20,"")</f>
        <v/>
      </c>
      <c r="B21" s="53" t="str">
        <f>IF(Calculation!E20=Calculation!$A$139,Calculation!I20,"")</f>
        <v/>
      </c>
      <c r="C21" s="52" t="str">
        <f>IF(Calculation!E20=Calculation!$A$139,Calculation!D20,"")</f>
        <v/>
      </c>
      <c r="D21" s="52" t="str">
        <f>IF(Calculation!E20=Calculation!$A$139,Calculation!C20,"")</f>
        <v/>
      </c>
      <c r="E21" s="52" t="str">
        <f>IF(Calculation!E20=Calculation!$A$139,Calculation!F20,"")</f>
        <v/>
      </c>
      <c r="F21" s="54" t="str">
        <f>IF(Calculation!E20=Calculation!$A$139,Calculation!G20,"")</f>
        <v/>
      </c>
      <c r="G21" s="54" t="str">
        <f>IF(Calculation!E20=Calculation!$A$139,Calculation!H20,"")</f>
        <v/>
      </c>
      <c r="H21" s="55"/>
      <c r="L21" s="89" t="s">
        <v>35</v>
      </c>
      <c r="P21" s="86">
        <f>SUMIFS(Calculation!$F$3:$F$125,Calculation!$C$3:$C$125,Calculation!C135,Calculation!$E$3:$E$125,Calculation!A139)</f>
        <v>0</v>
      </c>
      <c r="Q21" s="121">
        <f>(Calculation!C136)</f>
        <v>468.75</v>
      </c>
      <c r="R21" s="123">
        <f t="shared" si="1"/>
        <v>0</v>
      </c>
      <c r="S21" s="69"/>
      <c r="T21" s="70"/>
    </row>
    <row r="22" ht="21.0" customHeight="1">
      <c r="A22" s="52" t="str">
        <f>IF(Calculation!E21=Calculation!$A$139,Calculation!B21,"")</f>
        <v/>
      </c>
      <c r="B22" s="53" t="str">
        <f>IF(Calculation!E21=Calculation!$A$139,Calculation!I21,"")</f>
        <v/>
      </c>
      <c r="C22" s="52" t="str">
        <f>IF(Calculation!E21=Calculation!$A$139,Calculation!D21,"")</f>
        <v/>
      </c>
      <c r="D22" s="52" t="str">
        <f>IF(Calculation!E21=Calculation!$A$139,Calculation!C21,"")</f>
        <v/>
      </c>
      <c r="E22" s="52" t="str">
        <f>IF(Calculation!E21=Calculation!$A$139,Calculation!F21,"")</f>
        <v/>
      </c>
      <c r="F22" s="54" t="str">
        <f>IF(Calculation!E21=Calculation!$A$139,Calculation!G21,"")</f>
        <v/>
      </c>
      <c r="G22" s="54" t="str">
        <f>IF(Calculation!E21=Calculation!$A$139,Calculation!H21,"")</f>
        <v/>
      </c>
      <c r="H22" s="55"/>
      <c r="L22" s="91" t="s">
        <v>25</v>
      </c>
      <c r="P22" s="86">
        <f>SUMIFS(Calculation!$F$3:$F$125,Calculation!$C$3:$C$125,Calculation!D135,Calculation!$E$3:$E$125,Calculation!A139)</f>
        <v>0</v>
      </c>
      <c r="Q22" s="121">
        <f>(Calculation!D136)</f>
        <v>86</v>
      </c>
      <c r="R22" s="122">
        <f t="shared" si="1"/>
        <v>0</v>
      </c>
      <c r="S22" s="69"/>
      <c r="T22" s="70"/>
    </row>
    <row r="23" ht="21.0" customHeight="1">
      <c r="A23" s="52" t="str">
        <f>IF(Calculation!E22=Calculation!$A$139,Calculation!B22,"")</f>
        <v/>
      </c>
      <c r="B23" s="53" t="str">
        <f>IF(Calculation!E22=Calculation!$A$139,Calculation!I22,"")</f>
        <v/>
      </c>
      <c r="C23" s="52" t="str">
        <f>IF(Calculation!E22=Calculation!$A$139,Calculation!D22,"")</f>
        <v/>
      </c>
      <c r="D23" s="52" t="str">
        <f>IF(Calculation!E22=Calculation!$A$139,Calculation!C22,"")</f>
        <v/>
      </c>
      <c r="E23" s="52" t="str">
        <f>IF(Calculation!E22=Calculation!$A$139,Calculation!F22,"")</f>
        <v/>
      </c>
      <c r="F23" s="54" t="str">
        <f>IF(Calculation!E22=Calculation!$A$139,Calculation!G22,"")</f>
        <v/>
      </c>
      <c r="G23" s="54" t="str">
        <f>IF(Calculation!E22=Calculation!$A$139,Calculation!H22,"")</f>
        <v/>
      </c>
      <c r="H23" s="55"/>
      <c r="L23" s="92" t="s">
        <v>36</v>
      </c>
      <c r="P23" s="86">
        <f>SUMIFS(Calculation!$F$3:$F$125,Calculation!$C$3:$C$125,Calculation!E135,Calculation!$E$3:$E$125,Calculation!A139)</f>
        <v>0</v>
      </c>
      <c r="Q23" s="121">
        <f>(Calculation!E136)</f>
        <v>156.25</v>
      </c>
      <c r="R23" s="123">
        <f t="shared" si="1"/>
        <v>0</v>
      </c>
      <c r="S23" s="69"/>
      <c r="T23" s="70"/>
    </row>
    <row r="24" ht="20.25" customHeight="1">
      <c r="A24" s="52" t="str">
        <f>IF(Calculation!E23=Calculation!$A$139,Calculation!B23,"")</f>
        <v/>
      </c>
      <c r="B24" s="53" t="str">
        <f>IF(Calculation!E23=Calculation!$A$139,Calculation!I23,"")</f>
        <v/>
      </c>
      <c r="C24" s="52" t="str">
        <f>IF(Calculation!E23=Calculation!$A$139,Calculation!D23,"")</f>
        <v/>
      </c>
      <c r="D24" s="52" t="str">
        <f>IF(Calculation!E23=Calculation!$A$139,Calculation!C23,"")</f>
        <v/>
      </c>
      <c r="E24" s="52" t="str">
        <f>IF(Calculation!E23=Calculation!$A$139,Calculation!F23,"")</f>
        <v/>
      </c>
      <c r="F24" s="54" t="str">
        <f>IF(Calculation!E23=Calculation!$A$139,Calculation!G23,"")</f>
        <v/>
      </c>
      <c r="G24" s="54" t="str">
        <f>IF(Calculation!E23=Calculation!$A$139,Calculation!H23,"")</f>
        <v/>
      </c>
      <c r="H24" s="55"/>
      <c r="L24" s="93" t="s">
        <v>16</v>
      </c>
      <c r="M24" s="93"/>
      <c r="N24" s="94"/>
      <c r="O24" s="94"/>
      <c r="P24" s="86">
        <f>SUMIFS(Calculation!$F$3:$F$125,Calculation!$C$3:$C$125,Calculation!F135,Calculation!$E$3:$E$125,Calculation!A139)</f>
        <v>2</v>
      </c>
      <c r="Q24" s="124">
        <f>(Calculation!F136)</f>
        <v>140</v>
      </c>
      <c r="R24" s="125">
        <f t="shared" si="1"/>
        <v>280</v>
      </c>
      <c r="S24" s="69"/>
      <c r="T24" s="70"/>
    </row>
    <row r="25">
      <c r="A25" s="52" t="str">
        <f>IF(Calculation!E24=Calculation!$A$139,Calculation!B24,"")</f>
        <v/>
      </c>
      <c r="B25" s="53" t="str">
        <f>IF(Calculation!E24=Calculation!$A$139,Calculation!I24,"")</f>
        <v/>
      </c>
      <c r="C25" s="52" t="str">
        <f>IF(Calculation!E24=Calculation!$A$139,Calculation!D24,"")</f>
        <v/>
      </c>
      <c r="D25" s="52" t="str">
        <f>IF(Calculation!E24=Calculation!$A$139,Calculation!C24,"")</f>
        <v/>
      </c>
      <c r="E25" s="52" t="str">
        <f>IF(Calculation!E24=Calculation!$A$139,Calculation!F24,"")</f>
        <v/>
      </c>
      <c r="F25" s="54" t="str">
        <f>IF(Calculation!E24=Calculation!$A$139,Calculation!G24,"")</f>
        <v/>
      </c>
      <c r="G25" s="54" t="str">
        <f>IF(Calculation!E24=Calculation!$A$139,Calculation!H24,"")</f>
        <v/>
      </c>
      <c r="H25" s="55"/>
      <c r="L25" s="97" t="s">
        <v>71</v>
      </c>
      <c r="M25" s="97"/>
      <c r="N25" s="62"/>
      <c r="Q25" s="98" t="s">
        <v>72</v>
      </c>
      <c r="R25" s="99">
        <f>sum(R19:R24)</f>
        <v>5949.5</v>
      </c>
      <c r="S25" s="62"/>
      <c r="T25" s="64"/>
    </row>
    <row r="26">
      <c r="A26" s="52" t="str">
        <f>IF(Calculation!E25=Calculation!$A$139,Calculation!B25,"")</f>
        <v/>
      </c>
      <c r="B26" s="53" t="str">
        <f>IF(Calculation!E25=Calculation!$A$139,Calculation!I25,"")</f>
        <v/>
      </c>
      <c r="C26" s="52" t="str">
        <f>IF(Calculation!E25=Calculation!$A$139,Calculation!D25,"")</f>
        <v/>
      </c>
      <c r="D26" s="52" t="str">
        <f>IF(Calculation!E25=Calculation!$A$139,Calculation!C25,"")</f>
        <v/>
      </c>
      <c r="E26" s="52" t="str">
        <f>IF(Calculation!E25=Calculation!$A$139,Calculation!F25,"")</f>
        <v/>
      </c>
      <c r="F26" s="54" t="str">
        <f>IF(Calculation!E25=Calculation!$A$139,Calculation!G25,"")</f>
        <v/>
      </c>
      <c r="G26" s="54" t="str">
        <f>IF(Calculation!E25=Calculation!$A$139,Calculation!H25,"")</f>
        <v/>
      </c>
      <c r="H26" s="55"/>
      <c r="L26" s="62"/>
      <c r="M26" s="62"/>
      <c r="N26" s="62"/>
      <c r="Q26" s="98" t="s">
        <v>73</v>
      </c>
      <c r="R26" s="100">
        <v>0.0</v>
      </c>
      <c r="S26" s="62"/>
      <c r="T26" s="64"/>
    </row>
    <row r="27">
      <c r="A27" s="52" t="str">
        <f>IF(Calculation!E26=Calculation!$A$139,Calculation!B26,"")</f>
        <v/>
      </c>
      <c r="B27" s="53" t="str">
        <f>IF(Calculation!E26=Calculation!$A$139,Calculation!I26,"")</f>
        <v/>
      </c>
      <c r="C27" s="52" t="str">
        <f>IF(Calculation!E26=Calculation!$A$139,Calculation!D26,"")</f>
        <v/>
      </c>
      <c r="D27" s="52" t="str">
        <f>IF(Calculation!E26=Calculation!$A$139,Calculation!C26,"")</f>
        <v/>
      </c>
      <c r="E27" s="52" t="str">
        <f>IF(Calculation!E26=Calculation!$A$139,Calculation!F26,"")</f>
        <v/>
      </c>
      <c r="F27" s="54" t="str">
        <f>IF(Calculation!E26=Calculation!$A$139,Calculation!G26,"")</f>
        <v/>
      </c>
      <c r="G27" s="54" t="str">
        <f>IF(Calculation!E26=Calculation!$A$139,Calculation!H26,"")</f>
        <v/>
      </c>
      <c r="H27" s="55"/>
      <c r="L27" s="69"/>
      <c r="M27" s="69"/>
      <c r="N27" s="69"/>
      <c r="O27" s="69"/>
      <c r="P27" s="69"/>
      <c r="Q27" s="101">
        <f>sum(R25,R26)</f>
        <v>5949.5</v>
      </c>
      <c r="S27" s="69"/>
      <c r="T27" s="70"/>
    </row>
    <row r="28">
      <c r="A28" s="52" t="str">
        <f>IF(Calculation!E27=Calculation!$A$139,Calculation!B27,"")</f>
        <v/>
      </c>
      <c r="B28" s="53" t="str">
        <f>IF(Calculation!E27=Calculation!$A$139,Calculation!I27,"")</f>
        <v/>
      </c>
      <c r="C28" s="52" t="str">
        <f>IF(Calculation!E27=Calculation!$A$139,Calculation!D27,"")</f>
        <v/>
      </c>
      <c r="D28" s="52" t="str">
        <f>IF(Calculation!E27=Calculation!$A$139,Calculation!C27,"")</f>
        <v/>
      </c>
      <c r="E28" s="52" t="str">
        <f>IF(Calculation!E27=Calculation!$A$139,Calculation!F27,"")</f>
        <v/>
      </c>
      <c r="F28" s="54" t="str">
        <f>IF(Calculation!E27=Calculation!$A$139,Calculation!G27,"")</f>
        <v/>
      </c>
      <c r="G28" s="54" t="str">
        <f>IF(Calculation!E27=Calculation!$A$139,Calculation!H27,"")</f>
        <v/>
      </c>
      <c r="H28" s="55"/>
      <c r="L28" s="102"/>
      <c r="M28" s="102"/>
      <c r="N28" s="69"/>
      <c r="O28" s="69"/>
      <c r="P28" s="69"/>
      <c r="Q28" s="69"/>
      <c r="R28" s="69"/>
      <c r="S28" s="69"/>
      <c r="T28" s="70"/>
    </row>
    <row r="29">
      <c r="A29" s="52" t="str">
        <f>IF(Calculation!E28=Calculation!$A$139,Calculation!B28,"")</f>
        <v/>
      </c>
      <c r="B29" s="53" t="str">
        <f>IF(Calculation!E28=Calculation!$A$139,Calculation!I28,"")</f>
        <v/>
      </c>
      <c r="C29" s="52" t="str">
        <f>IF(Calculation!E28=Calculation!$A$139,Calculation!D28,"")</f>
        <v/>
      </c>
      <c r="D29" s="52" t="str">
        <f>IF(Calculation!E28=Calculation!$A$139,Calculation!C28,"")</f>
        <v/>
      </c>
      <c r="E29" s="52" t="str">
        <f>IF(Calculation!E28=Calculation!$A$139,Calculation!F28,"")</f>
        <v/>
      </c>
      <c r="F29" s="54" t="str">
        <f>IF(Calculation!E28=Calculation!$A$139,Calculation!G28,"")</f>
        <v/>
      </c>
      <c r="G29" s="54" t="str">
        <f>IF(Calculation!E28=Calculation!$A$139,Calculation!H28,"")</f>
        <v/>
      </c>
      <c r="H29" s="55"/>
      <c r="T29" s="103"/>
    </row>
    <row r="30">
      <c r="A30" s="52" t="str">
        <f>IF(Calculation!E29=Calculation!$A$139,Calculation!B29,"")</f>
        <v/>
      </c>
      <c r="B30" s="53" t="str">
        <f>IF(Calculation!E29=Calculation!$A$139,Calculation!I29,"")</f>
        <v/>
      </c>
      <c r="C30" s="52" t="str">
        <f>IF(Calculation!E29=Calculation!$A$139,Calculation!D29,"")</f>
        <v/>
      </c>
      <c r="D30" s="52" t="str">
        <f>IF(Calculation!E29=Calculation!$A$139,Calculation!C29,"")</f>
        <v/>
      </c>
      <c r="E30" s="52" t="str">
        <f>IF(Calculation!E29=Calculation!$A$139,Calculation!F29,"")</f>
        <v/>
      </c>
      <c r="F30" s="54" t="str">
        <f>IF(Calculation!E29=Calculation!$A$139,Calculation!G29,"")</f>
        <v/>
      </c>
      <c r="G30" s="54" t="str">
        <f>IF(Calculation!E29=Calculation!$A$139,Calculation!H29,"")</f>
        <v/>
      </c>
      <c r="H30" s="55"/>
      <c r="T30" s="103"/>
    </row>
    <row r="31">
      <c r="A31" s="52" t="str">
        <f>IF(Calculation!E30=Calculation!$A$139,Calculation!B30,"")</f>
        <v/>
      </c>
      <c r="B31" s="53" t="str">
        <f>IF(Calculation!E30=Calculation!$A$139,Calculation!I30,"")</f>
        <v/>
      </c>
      <c r="C31" s="52" t="str">
        <f>IF(Calculation!E30=Calculation!$A$139,Calculation!D30,"")</f>
        <v/>
      </c>
      <c r="D31" s="52" t="str">
        <f>IF(Calculation!E30=Calculation!$A$139,Calculation!C30,"")</f>
        <v/>
      </c>
      <c r="E31" s="52" t="str">
        <f>IF(Calculation!E30=Calculation!$A$139,Calculation!F30,"")</f>
        <v/>
      </c>
      <c r="F31" s="54" t="str">
        <f>IF(Calculation!E30=Calculation!$A$139,Calculation!G30,"")</f>
        <v/>
      </c>
      <c r="G31" s="54" t="str">
        <f>IF(Calculation!E30=Calculation!$A$139,Calculation!H30,"")</f>
        <v/>
      </c>
      <c r="H31" s="55"/>
      <c r="T31" s="103"/>
    </row>
    <row r="32">
      <c r="A32" s="52" t="str">
        <f>IF(Calculation!E31=Calculation!$A$139,Calculation!B31,"")</f>
        <v/>
      </c>
      <c r="B32" s="53" t="str">
        <f>IF(Calculation!E31=Calculation!$A$139,Calculation!I31,"")</f>
        <v/>
      </c>
      <c r="C32" s="52" t="str">
        <f>IF(Calculation!E31=Calculation!$A$139,Calculation!D31,"")</f>
        <v/>
      </c>
      <c r="D32" s="52" t="str">
        <f>IF(Calculation!E31=Calculation!$A$139,Calculation!C31,"")</f>
        <v/>
      </c>
      <c r="E32" s="52" t="str">
        <f>IF(Calculation!E31=Calculation!$A$139,Calculation!F31,"")</f>
        <v/>
      </c>
      <c r="F32" s="54" t="str">
        <f>IF(Calculation!E31=Calculation!$A$139,Calculation!G31,"")</f>
        <v/>
      </c>
      <c r="G32" s="54" t="str">
        <f>IF(Calculation!E31=Calculation!$A$139,Calculation!H31,"")</f>
        <v/>
      </c>
      <c r="H32" s="55"/>
      <c r="T32" s="103"/>
    </row>
    <row r="33">
      <c r="A33" s="52" t="str">
        <f>IF(Calculation!E32=Calculation!$A$139,Calculation!B32,"")</f>
        <v/>
      </c>
      <c r="B33" s="53" t="str">
        <f>IF(Calculation!E32=Calculation!$A$139,Calculation!I32,"")</f>
        <v/>
      </c>
      <c r="C33" s="52" t="str">
        <f>IF(Calculation!E32=Calculation!$A$139,Calculation!D32,"")</f>
        <v/>
      </c>
      <c r="D33" s="52" t="str">
        <f>IF(Calculation!E32=Calculation!$A$139,Calculation!C32,"")</f>
        <v/>
      </c>
      <c r="E33" s="52" t="str">
        <f>IF(Calculation!E32=Calculation!$A$139,Calculation!F32,"")</f>
        <v/>
      </c>
      <c r="F33" s="54" t="str">
        <f>IF(Calculation!E32=Calculation!$A$139,Calculation!G32,"")</f>
        <v/>
      </c>
      <c r="G33" s="54" t="str">
        <f>IF(Calculation!E32=Calculation!$A$139,Calculation!H32,"")</f>
        <v/>
      </c>
      <c r="H33" s="55"/>
      <c r="T33" s="103"/>
    </row>
    <row r="34">
      <c r="A34" s="52" t="str">
        <f>IF(Calculation!E33=Calculation!$A$139,Calculation!B33,"")</f>
        <v/>
      </c>
      <c r="B34" s="53" t="str">
        <f>IF(Calculation!E33=Calculation!$A$139,Calculation!I33,"")</f>
        <v/>
      </c>
      <c r="C34" s="52" t="str">
        <f>IF(Calculation!E33=Calculation!$A$139,Calculation!D33,"")</f>
        <v/>
      </c>
      <c r="D34" s="52" t="str">
        <f>IF(Calculation!E33=Calculation!$A$139,Calculation!C33,"")</f>
        <v/>
      </c>
      <c r="E34" s="52" t="str">
        <f>IF(Calculation!E33=Calculation!$A$139,Calculation!F33,"")</f>
        <v/>
      </c>
      <c r="F34" s="54" t="str">
        <f>IF(Calculation!E33=Calculation!$A$139,Calculation!G33,"")</f>
        <v/>
      </c>
      <c r="G34" s="54" t="str">
        <f>IF(Calculation!E33=Calculation!$A$139,Calculation!H33,"")</f>
        <v/>
      </c>
      <c r="H34" s="55"/>
      <c r="T34" s="103"/>
    </row>
    <row r="35">
      <c r="A35" s="52" t="str">
        <f>IF(Calculation!E34=Calculation!$A$139,Calculation!B34,"")</f>
        <v/>
      </c>
      <c r="B35" s="53" t="str">
        <f>IF(Calculation!E34=Calculation!$A$139,Calculation!I34,"")</f>
        <v/>
      </c>
      <c r="C35" s="52" t="str">
        <f>IF(Calculation!E34=Calculation!$A$139,Calculation!D34,"")</f>
        <v/>
      </c>
      <c r="D35" s="52" t="str">
        <f>IF(Calculation!E34=Calculation!$A$139,Calculation!C34,"")</f>
        <v/>
      </c>
      <c r="E35" s="52" t="str">
        <f>IF(Calculation!E34=Calculation!$A$139,Calculation!F34,"")</f>
        <v/>
      </c>
      <c r="F35" s="54" t="str">
        <f>IF(Calculation!E34=Calculation!$A$139,Calculation!G34,"")</f>
        <v/>
      </c>
      <c r="G35" s="54" t="str">
        <f>IF(Calculation!E34=Calculation!$A$139,Calculation!H34,"")</f>
        <v/>
      </c>
      <c r="H35" s="55"/>
      <c r="T35" s="103"/>
    </row>
    <row r="36">
      <c r="A36" s="52" t="str">
        <f>IF(Calculation!E35=Calculation!$A$139,Calculation!B35,"")</f>
        <v/>
      </c>
      <c r="B36" s="53" t="str">
        <f>IF(Calculation!E35=Calculation!$A$139,Calculation!I35,"")</f>
        <v/>
      </c>
      <c r="C36" s="52" t="str">
        <f>IF(Calculation!E35=Calculation!$A$139,Calculation!D35,"")</f>
        <v/>
      </c>
      <c r="D36" s="52" t="str">
        <f>IF(Calculation!E35=Calculation!$A$139,Calculation!C35,"")</f>
        <v/>
      </c>
      <c r="E36" s="52" t="str">
        <f>IF(Calculation!E35=Calculation!$A$139,Calculation!F35,"")</f>
        <v/>
      </c>
      <c r="F36" s="54" t="str">
        <f>IF(Calculation!E35=Calculation!$A$139,Calculation!G35,"")</f>
        <v/>
      </c>
      <c r="G36" s="54" t="str">
        <f>IF(Calculation!E35=Calculation!$A$139,Calculation!H35,"")</f>
        <v/>
      </c>
      <c r="H36" s="55"/>
      <c r="T36" s="103"/>
    </row>
    <row r="37">
      <c r="A37" s="52" t="str">
        <f>IF(Calculation!E36=Calculation!$A$139,Calculation!B36,"")</f>
        <v/>
      </c>
      <c r="B37" s="53" t="str">
        <f>IF(Calculation!E36=Calculation!$A$139,Calculation!I36,"")</f>
        <v/>
      </c>
      <c r="C37" s="52" t="str">
        <f>IF(Calculation!E36=Calculation!$A$139,Calculation!D36,"")</f>
        <v/>
      </c>
      <c r="D37" s="52" t="str">
        <f>IF(Calculation!E36=Calculation!$A$139,Calculation!C36,"")</f>
        <v/>
      </c>
      <c r="E37" s="52" t="str">
        <f>IF(Calculation!E36=Calculation!$A$139,Calculation!F36,"")</f>
        <v/>
      </c>
      <c r="F37" s="54" t="str">
        <f>IF(Calculation!E36=Calculation!$A$139,Calculation!G36,"")</f>
        <v/>
      </c>
      <c r="G37" s="54" t="str">
        <f>IF(Calculation!E36=Calculation!$A$139,Calculation!H36,"")</f>
        <v/>
      </c>
      <c r="H37" s="55"/>
      <c r="T37" s="103"/>
    </row>
    <row r="38">
      <c r="A38" s="52" t="str">
        <f>IF(Calculation!E37=Calculation!$A$139,Calculation!B37,"")</f>
        <v/>
      </c>
      <c r="B38" s="53" t="str">
        <f>IF(Calculation!E37=Calculation!$A$139,Calculation!I37,"")</f>
        <v/>
      </c>
      <c r="C38" s="52" t="str">
        <f>IF(Calculation!E37=Calculation!$A$139,Calculation!D37,"")</f>
        <v/>
      </c>
      <c r="D38" s="52" t="str">
        <f>IF(Calculation!E37=Calculation!$A$139,Calculation!C37,"")</f>
        <v/>
      </c>
      <c r="E38" s="52" t="str">
        <f>IF(Calculation!E37=Calculation!$A$139,Calculation!F37,"")</f>
        <v/>
      </c>
      <c r="F38" s="54" t="str">
        <f>IF(Calculation!E37=Calculation!$A$139,Calculation!G37,"")</f>
        <v/>
      </c>
      <c r="G38" s="54" t="str">
        <f>IF(Calculation!E37=Calculation!$A$139,Calculation!H37,"")</f>
        <v/>
      </c>
      <c r="H38" s="55"/>
      <c r="T38" s="103"/>
    </row>
    <row r="39">
      <c r="A39" s="52" t="str">
        <f>IF(Calculation!E38=Calculation!$A$139,Calculation!B38,"")</f>
        <v/>
      </c>
      <c r="B39" s="53" t="str">
        <f>IF(Calculation!E38=Calculation!$A$139,Calculation!I38,"")</f>
        <v/>
      </c>
      <c r="C39" s="52" t="str">
        <f>IF(Calculation!E38=Calculation!$A$139,Calculation!D38,"")</f>
        <v/>
      </c>
      <c r="D39" s="52" t="str">
        <f>IF(Calculation!E38=Calculation!$A$139,Calculation!C38,"")</f>
        <v/>
      </c>
      <c r="E39" s="52" t="str">
        <f>IF(Calculation!E38=Calculation!$A$139,Calculation!F38,"")</f>
        <v/>
      </c>
      <c r="F39" s="54" t="str">
        <f>IF(Calculation!E38=Calculation!$A$139,Calculation!G38,"")</f>
        <v/>
      </c>
      <c r="G39" s="54" t="str">
        <f>IF(Calculation!E38=Calculation!$A$139,Calculation!H38,"")</f>
        <v/>
      </c>
      <c r="H39" s="55"/>
      <c r="T39" s="103"/>
    </row>
    <row r="40">
      <c r="A40" s="52" t="str">
        <f>IF(Calculation!E39=Calculation!$A$139,Calculation!B39,"")</f>
        <v/>
      </c>
      <c r="B40" s="53" t="str">
        <f>IF(Calculation!E39=Calculation!$A$139,Calculation!I39,"")</f>
        <v/>
      </c>
      <c r="C40" s="52" t="str">
        <f>IF(Calculation!E39=Calculation!$A$139,Calculation!D39,"")</f>
        <v/>
      </c>
      <c r="D40" s="52" t="str">
        <f>IF(Calculation!E39=Calculation!$A$139,Calculation!C39,"")</f>
        <v/>
      </c>
      <c r="E40" s="52" t="str">
        <f>IF(Calculation!E39=Calculation!$A$139,Calculation!F39,"")</f>
        <v/>
      </c>
      <c r="F40" s="54" t="str">
        <f>IF(Calculation!E39=Calculation!$A$139,Calculation!G39,"")</f>
        <v/>
      </c>
      <c r="G40" s="54" t="str">
        <f>IF(Calculation!E39=Calculation!$A$139,Calculation!H39,"")</f>
        <v/>
      </c>
      <c r="H40" s="55"/>
      <c r="T40" s="103"/>
    </row>
    <row r="41">
      <c r="A41" s="52" t="str">
        <f>IF(Calculation!E40=Calculation!$A$139,Calculation!B40,"")</f>
        <v/>
      </c>
      <c r="B41" s="53" t="str">
        <f>IF(Calculation!E40=Calculation!$A$139,Calculation!I40,"")</f>
        <v/>
      </c>
      <c r="C41" s="52" t="str">
        <f>IF(Calculation!E40=Calculation!$A$139,Calculation!D40,"")</f>
        <v/>
      </c>
      <c r="D41" s="52" t="str">
        <f>IF(Calculation!E40=Calculation!$A$139,Calculation!C40,"")</f>
        <v/>
      </c>
      <c r="E41" s="52" t="str">
        <f>IF(Calculation!E40=Calculation!$A$139,Calculation!F40,"")</f>
        <v/>
      </c>
      <c r="F41" s="54" t="str">
        <f>IF(Calculation!E40=Calculation!$A$139,Calculation!G40,"")</f>
        <v/>
      </c>
      <c r="G41" s="54" t="str">
        <f>IF(Calculation!E40=Calculation!$A$139,Calculation!H40,"")</f>
        <v/>
      </c>
      <c r="H41" s="55"/>
      <c r="L41" s="104"/>
      <c r="M41" s="104"/>
      <c r="N41" s="104"/>
      <c r="O41" s="104"/>
      <c r="P41" s="104"/>
      <c r="Q41" s="104"/>
      <c r="R41" s="104"/>
      <c r="S41" s="104"/>
      <c r="T41" s="105"/>
    </row>
    <row r="42">
      <c r="A42" s="52" t="str">
        <f>IF(Calculation!E41=Calculation!$A$139,Calculation!B41,"")</f>
        <v/>
      </c>
      <c r="B42" s="53" t="str">
        <f>IF(Calculation!E41=Calculation!$A$139,Calculation!I41,"")</f>
        <v/>
      </c>
      <c r="C42" s="52" t="str">
        <f>IF(Calculation!E41=Calculation!$A$139,Calculation!D41,"")</f>
        <v/>
      </c>
      <c r="D42" s="52" t="str">
        <f>IF(Calculation!E41=Calculation!$A$139,Calculation!C41,"")</f>
        <v/>
      </c>
      <c r="E42" s="52" t="str">
        <f>IF(Calculation!E41=Calculation!$A$139,Calculation!F41,"")</f>
        <v/>
      </c>
      <c r="F42" s="54" t="str">
        <f>IF(Calculation!E41=Calculation!$A$139,Calculation!G41,"")</f>
        <v/>
      </c>
      <c r="G42" s="54" t="str">
        <f>IF(Calculation!E41=Calculation!$A$139,Calculation!H41,"")</f>
        <v/>
      </c>
      <c r="H42" s="55"/>
    </row>
    <row r="43">
      <c r="A43" s="52" t="str">
        <f>IF(Calculation!E42=Calculation!$A$139,Calculation!B42,"")</f>
        <v/>
      </c>
      <c r="B43" s="53" t="str">
        <f>IF(Calculation!E42=Calculation!$A$139,Calculation!I42,"")</f>
        <v/>
      </c>
      <c r="C43" s="52" t="str">
        <f>IF(Calculation!E42=Calculation!$A$139,Calculation!D42,"")</f>
        <v/>
      </c>
      <c r="D43" s="52" t="str">
        <f>IF(Calculation!E42=Calculation!$A$139,Calculation!C42,"")</f>
        <v/>
      </c>
      <c r="E43" s="52" t="str">
        <f>IF(Calculation!E42=Calculation!$A$139,Calculation!F42,"")</f>
        <v/>
      </c>
      <c r="F43" s="54" t="str">
        <f>IF(Calculation!E42=Calculation!$A$139,Calculation!G42,"")</f>
        <v/>
      </c>
      <c r="G43" s="54" t="str">
        <f>IF(Calculation!E42=Calculation!$A$139,Calculation!H42,"")</f>
        <v/>
      </c>
      <c r="H43" s="55"/>
    </row>
    <row r="44">
      <c r="A44" s="52" t="str">
        <f>IF(Calculation!E43=Calculation!$A$139,Calculation!B43,"")</f>
        <v/>
      </c>
      <c r="B44" s="53" t="str">
        <f>IF(Calculation!E43=Calculation!$A$139,Calculation!I43,"")</f>
        <v/>
      </c>
      <c r="C44" s="52" t="str">
        <f>IF(Calculation!E43=Calculation!$A$139,Calculation!D43,"")</f>
        <v/>
      </c>
      <c r="D44" s="52" t="str">
        <f>IF(Calculation!E43=Calculation!$A$139,Calculation!C43,"")</f>
        <v/>
      </c>
      <c r="E44" s="52" t="str">
        <f>IF(Calculation!E43=Calculation!$A$139,Calculation!F43,"")</f>
        <v/>
      </c>
      <c r="F44" s="54" t="str">
        <f>IF(Calculation!E43=Calculation!$A$139,Calculation!G43,"")</f>
        <v/>
      </c>
      <c r="G44" s="54" t="str">
        <f>IF(Calculation!E43=Calculation!$A$139,Calculation!H43,"")</f>
        <v/>
      </c>
      <c r="H44" s="55"/>
    </row>
    <row r="45">
      <c r="A45" s="52" t="str">
        <f>IF(Calculation!E44=Calculation!$A$139,Calculation!B44,"")</f>
        <v/>
      </c>
      <c r="B45" s="53" t="str">
        <f>IF(Calculation!E44=Calculation!$A$139,Calculation!I44,"")</f>
        <v/>
      </c>
      <c r="C45" s="52" t="str">
        <f>IF(Calculation!E44=Calculation!$A$139,Calculation!D44,"")</f>
        <v/>
      </c>
      <c r="D45" s="52" t="str">
        <f>IF(Calculation!E44=Calculation!$A$139,Calculation!C44,"")</f>
        <v/>
      </c>
      <c r="E45" s="52" t="str">
        <f>IF(Calculation!E44=Calculation!$A$139,Calculation!F44,"")</f>
        <v/>
      </c>
      <c r="F45" s="54" t="str">
        <f>IF(Calculation!E44=Calculation!$A$139,Calculation!G44,"")</f>
        <v/>
      </c>
      <c r="G45" s="54" t="str">
        <f>IF(Calculation!E44=Calculation!$A$139,Calculation!H44,"")</f>
        <v/>
      </c>
      <c r="H45" s="55"/>
    </row>
    <row r="46">
      <c r="A46" s="52" t="str">
        <f>IF(Calculation!E45=Calculation!$A$139,Calculation!B45,"")</f>
        <v/>
      </c>
      <c r="B46" s="53" t="str">
        <f>IF(Calculation!E45=Calculation!$A$139,Calculation!I45,"")</f>
        <v/>
      </c>
      <c r="C46" s="52" t="str">
        <f>IF(Calculation!E45=Calculation!$A$139,Calculation!D45,"")</f>
        <v/>
      </c>
      <c r="D46" s="52" t="str">
        <f>IF(Calculation!E45=Calculation!$A$139,Calculation!C45,"")</f>
        <v/>
      </c>
      <c r="E46" s="52" t="str">
        <f>IF(Calculation!E45=Calculation!$A$139,Calculation!F45,"")</f>
        <v/>
      </c>
      <c r="F46" s="54" t="str">
        <f>IF(Calculation!E45=Calculation!$A$139,Calculation!G45,"")</f>
        <v/>
      </c>
      <c r="G46" s="54" t="str">
        <f>IF(Calculation!E45=Calculation!$A$139,Calculation!H45,"")</f>
        <v/>
      </c>
      <c r="H46" s="55"/>
    </row>
    <row r="47">
      <c r="A47" s="52" t="str">
        <f>IF(Calculation!E46=Calculation!$A$139,Calculation!B46,"")</f>
        <v/>
      </c>
      <c r="B47" s="53" t="str">
        <f>IF(Calculation!E46=Calculation!$A$139,Calculation!I46,"")</f>
        <v/>
      </c>
      <c r="C47" s="52" t="str">
        <f>IF(Calculation!E46=Calculation!$A$139,Calculation!D46,"")</f>
        <v/>
      </c>
      <c r="D47" s="52" t="str">
        <f>IF(Calculation!E46=Calculation!$A$139,Calculation!C46,"")</f>
        <v/>
      </c>
      <c r="E47" s="52" t="str">
        <f>IF(Calculation!E46=Calculation!$A$139,Calculation!F46,"")</f>
        <v/>
      </c>
      <c r="F47" s="54" t="str">
        <f>IF(Calculation!E46=Calculation!$A$139,Calculation!G46,"")</f>
        <v/>
      </c>
      <c r="G47" s="54" t="str">
        <f>IF(Calculation!E46=Calculation!$A$139,Calculation!H46,"")</f>
        <v/>
      </c>
      <c r="H47" s="55"/>
    </row>
    <row r="48">
      <c r="A48" s="52" t="str">
        <f>IF(Calculation!E47=Calculation!$A$139,Calculation!B47,"")</f>
        <v/>
      </c>
      <c r="B48" s="53" t="str">
        <f>IF(Calculation!E47=Calculation!$A$139,Calculation!I47,"")</f>
        <v/>
      </c>
      <c r="C48" s="52" t="str">
        <f>IF(Calculation!E47=Calculation!$A$139,Calculation!D47,"")</f>
        <v/>
      </c>
      <c r="D48" s="52" t="str">
        <f>IF(Calculation!E47=Calculation!$A$139,Calculation!C47,"")</f>
        <v/>
      </c>
      <c r="E48" s="52" t="str">
        <f>IF(Calculation!E47=Calculation!$A$139,Calculation!F47,"")</f>
        <v/>
      </c>
      <c r="F48" s="54" t="str">
        <f>IF(Calculation!E47=Calculation!$A$139,Calculation!G47,"")</f>
        <v/>
      </c>
      <c r="G48" s="54" t="str">
        <f>IF(Calculation!E47=Calculation!$A$139,Calculation!H47,"")</f>
        <v/>
      </c>
      <c r="H48" s="55"/>
    </row>
    <row r="49">
      <c r="A49" s="52" t="str">
        <f>IF(Calculation!E48=Calculation!$A$139,Calculation!B48,"")</f>
        <v/>
      </c>
      <c r="B49" s="53" t="str">
        <f>IF(Calculation!E48=Calculation!$A$139,Calculation!I48,"")</f>
        <v/>
      </c>
      <c r="C49" s="52" t="str">
        <f>IF(Calculation!E48=Calculation!$A$139,Calculation!D48,"")</f>
        <v/>
      </c>
      <c r="D49" s="52" t="str">
        <f>IF(Calculation!E48=Calculation!$A$139,Calculation!C48,"")</f>
        <v/>
      </c>
      <c r="E49" s="52" t="str">
        <f>IF(Calculation!E48=Calculation!$A$139,Calculation!F48,"")</f>
        <v/>
      </c>
      <c r="F49" s="54" t="str">
        <f>IF(Calculation!E48=Calculation!$A$139,Calculation!G48,"")</f>
        <v/>
      </c>
      <c r="G49" s="54" t="str">
        <f>IF(Calculation!E48=Calculation!$A$139,Calculation!H48,"")</f>
        <v/>
      </c>
      <c r="H49" s="55"/>
    </row>
    <row r="50">
      <c r="A50" s="52" t="str">
        <f>IF(Calculation!E49=Calculation!$A$139,Calculation!B49,"")</f>
        <v/>
      </c>
      <c r="B50" s="53" t="str">
        <f>IF(Calculation!E49=Calculation!$A$139,Calculation!I49,"")</f>
        <v/>
      </c>
      <c r="C50" s="52" t="str">
        <f>IF(Calculation!E49=Calculation!$A$139,Calculation!D49,"")</f>
        <v/>
      </c>
      <c r="D50" s="52" t="str">
        <f>IF(Calculation!E49=Calculation!$A$139,Calculation!C49,"")</f>
        <v/>
      </c>
      <c r="E50" s="52" t="str">
        <f>IF(Calculation!E49=Calculation!$A$139,Calculation!F49,"")</f>
        <v/>
      </c>
      <c r="F50" s="54" t="str">
        <f>IF(Calculation!E49=Calculation!$A$139,Calculation!G49,"")</f>
        <v/>
      </c>
      <c r="G50" s="54" t="str">
        <f>IF(Calculation!E49=Calculation!$A$139,Calculation!H49,"")</f>
        <v/>
      </c>
      <c r="H50" s="55"/>
    </row>
    <row r="51">
      <c r="A51" s="52" t="str">
        <f>IF(Calculation!E50=Calculation!$A$139,Calculation!B50,"")</f>
        <v/>
      </c>
      <c r="B51" s="53" t="str">
        <f>IF(Calculation!E50=Calculation!$A$139,Calculation!I50,"")</f>
        <v/>
      </c>
      <c r="C51" s="52" t="str">
        <f>IF(Calculation!E50=Calculation!$A$139,Calculation!D50,"")</f>
        <v/>
      </c>
      <c r="D51" s="52" t="str">
        <f>IF(Calculation!E50=Calculation!$A$139,Calculation!C50,"")</f>
        <v/>
      </c>
      <c r="E51" s="52" t="str">
        <f>IF(Calculation!E50=Calculation!$A$139,Calculation!F50,"")</f>
        <v/>
      </c>
      <c r="F51" s="54" t="str">
        <f>IF(Calculation!E50=Calculation!$A$139,Calculation!G50,"")</f>
        <v/>
      </c>
      <c r="G51" s="54" t="str">
        <f>IF(Calculation!E50=Calculation!$A$139,Calculation!H50,"")</f>
        <v/>
      </c>
      <c r="H51" s="55"/>
    </row>
    <row r="52">
      <c r="A52" s="52" t="str">
        <f>IF(Calculation!E51=Calculation!$A$139,Calculation!B51,"")</f>
        <v/>
      </c>
      <c r="B52" s="53" t="str">
        <f>IF(Calculation!E51=Calculation!$A$139,Calculation!I51,"")</f>
        <v/>
      </c>
      <c r="C52" s="52" t="str">
        <f>IF(Calculation!E51=Calculation!$A$139,Calculation!D51,"")</f>
        <v/>
      </c>
      <c r="D52" s="52" t="str">
        <f>IF(Calculation!E51=Calculation!$A$139,Calculation!C51,"")</f>
        <v/>
      </c>
      <c r="E52" s="52" t="str">
        <f>IF(Calculation!E51=Calculation!$A$139,Calculation!F51,"")</f>
        <v/>
      </c>
      <c r="F52" s="54" t="str">
        <f>IF(Calculation!E51=Calculation!$A$139,Calculation!G51,"")</f>
        <v/>
      </c>
      <c r="G52" s="54" t="str">
        <f>IF(Calculation!E51=Calculation!$A$139,Calculation!H51,"")</f>
        <v/>
      </c>
      <c r="H52" s="55"/>
    </row>
    <row r="53">
      <c r="A53" s="52" t="str">
        <f>IF(Calculation!E52=Calculation!$A$139,Calculation!B52,"")</f>
        <v/>
      </c>
      <c r="B53" s="53" t="str">
        <f>IF(Calculation!E52=Calculation!$A$139,Calculation!I52,"")</f>
        <v/>
      </c>
      <c r="C53" s="52" t="str">
        <f>IF(Calculation!E52=Calculation!$A$139,Calculation!D52,"")</f>
        <v/>
      </c>
      <c r="D53" s="52" t="str">
        <f>IF(Calculation!E52=Calculation!$A$139,Calculation!C52,"")</f>
        <v/>
      </c>
      <c r="E53" s="52" t="str">
        <f>IF(Calculation!E52=Calculation!$A$139,Calculation!F52,"")</f>
        <v/>
      </c>
      <c r="F53" s="54" t="str">
        <f>IF(Calculation!E52=Calculation!$A$139,Calculation!G52,"")</f>
        <v/>
      </c>
      <c r="G53" s="54" t="str">
        <f>IF(Calculation!E52=Calculation!$A$139,Calculation!H52,"")</f>
        <v/>
      </c>
      <c r="H53" s="55"/>
    </row>
    <row r="54">
      <c r="A54" s="52" t="str">
        <f>IF(Calculation!E53=Calculation!$A$139,Calculation!B53,"")</f>
        <v/>
      </c>
      <c r="B54" s="53" t="str">
        <f>IF(Calculation!E53=Calculation!$A$139,Calculation!I53,"")</f>
        <v/>
      </c>
      <c r="C54" s="52" t="str">
        <f>IF(Calculation!E53=Calculation!$A$139,Calculation!D53,"")</f>
        <v/>
      </c>
      <c r="D54" s="52" t="str">
        <f>IF(Calculation!E53=Calculation!$A$139,Calculation!C53,"")</f>
        <v/>
      </c>
      <c r="E54" s="52" t="str">
        <f>IF(Calculation!E53=Calculation!$A$139,Calculation!F53,"")</f>
        <v/>
      </c>
      <c r="F54" s="54" t="str">
        <f>IF(Calculation!E53=Calculation!$A$139,Calculation!G53,"")</f>
        <v/>
      </c>
      <c r="G54" s="54" t="str">
        <f>IF(Calculation!E53=Calculation!$A$139,Calculation!H53,"")</f>
        <v/>
      </c>
      <c r="H54" s="55"/>
    </row>
    <row r="55">
      <c r="A55" s="52" t="str">
        <f>IF(Calculation!E54=Calculation!$A$139,Calculation!B54,"")</f>
        <v/>
      </c>
      <c r="B55" s="53" t="str">
        <f>IF(Calculation!E54=Calculation!$A$139,Calculation!I54,"")</f>
        <v/>
      </c>
      <c r="C55" s="52" t="str">
        <f>IF(Calculation!E54=Calculation!$A$139,Calculation!D54,"")</f>
        <v/>
      </c>
      <c r="D55" s="52" t="str">
        <f>IF(Calculation!E54=Calculation!$A$139,Calculation!C54,"")</f>
        <v/>
      </c>
      <c r="E55" s="52" t="str">
        <f>IF(Calculation!E54=Calculation!$A$139,Calculation!F54,"")</f>
        <v/>
      </c>
      <c r="F55" s="54" t="str">
        <f>IF(Calculation!E54=Calculation!$A$139,Calculation!G54,"")</f>
        <v/>
      </c>
      <c r="G55" s="54" t="str">
        <f>IF(Calculation!E54=Calculation!$A$139,Calculation!H54,"")</f>
        <v/>
      </c>
      <c r="H55" s="55"/>
    </row>
    <row r="56">
      <c r="A56" s="52" t="str">
        <f>IF(Calculation!E55=Calculation!$A$139,Calculation!B55,"")</f>
        <v/>
      </c>
      <c r="B56" s="53" t="str">
        <f>IF(Calculation!E55=Calculation!$A$139,Calculation!I55,"")</f>
        <v/>
      </c>
      <c r="C56" s="52" t="str">
        <f>IF(Calculation!E55=Calculation!$A$139,Calculation!D55,"")</f>
        <v/>
      </c>
      <c r="D56" s="52" t="str">
        <f>IF(Calculation!E55=Calculation!$A$139,Calculation!C55,"")</f>
        <v/>
      </c>
      <c r="E56" s="52" t="str">
        <f>IF(Calculation!E55=Calculation!$A$139,Calculation!F55,"")</f>
        <v/>
      </c>
      <c r="F56" s="54" t="str">
        <f>IF(Calculation!E55=Calculation!$A$139,Calculation!G55,"")</f>
        <v/>
      </c>
      <c r="G56" s="54" t="str">
        <f>IF(Calculation!E55=Calculation!$A$139,Calculation!H55,"")</f>
        <v/>
      </c>
      <c r="H56" s="55"/>
    </row>
    <row r="57">
      <c r="A57" s="52" t="str">
        <f>IF(Calculation!E56=Calculation!$A$139,Calculation!B56,"")</f>
        <v/>
      </c>
      <c r="B57" s="53" t="str">
        <f>IF(Calculation!E56=Calculation!$A$139,Calculation!I56,"")</f>
        <v/>
      </c>
      <c r="C57" s="52" t="str">
        <f>IF(Calculation!E56=Calculation!$A$139,Calculation!D56,"")</f>
        <v/>
      </c>
      <c r="D57" s="52" t="str">
        <f>IF(Calculation!E56=Calculation!$A$139,Calculation!C56,"")</f>
        <v/>
      </c>
      <c r="E57" s="52" t="str">
        <f>IF(Calculation!E56=Calculation!$A$139,Calculation!F56,"")</f>
        <v/>
      </c>
      <c r="F57" s="54" t="str">
        <f>IF(Calculation!E56=Calculation!$A$139,Calculation!G56,"")</f>
        <v/>
      </c>
      <c r="G57" s="54" t="str">
        <f>IF(Calculation!E56=Calculation!$A$139,Calculation!H56,"")</f>
        <v/>
      </c>
      <c r="H57" s="55"/>
    </row>
    <row r="58">
      <c r="A58" s="52" t="str">
        <f>IF(Calculation!E57=Calculation!$A$139,Calculation!B57,"")</f>
        <v/>
      </c>
      <c r="B58" s="53" t="str">
        <f>IF(Calculation!E57=Calculation!$A$139,Calculation!I57,"")</f>
        <v/>
      </c>
      <c r="C58" s="52" t="str">
        <f>IF(Calculation!E57=Calculation!$A$139,Calculation!D57,"")</f>
        <v/>
      </c>
      <c r="D58" s="52" t="str">
        <f>IF(Calculation!E57=Calculation!$A$139,Calculation!C57,"")</f>
        <v/>
      </c>
      <c r="E58" s="52" t="str">
        <f>IF(Calculation!E57=Calculation!$A$139,Calculation!F57,"")</f>
        <v/>
      </c>
      <c r="F58" s="54" t="str">
        <f>IF(Calculation!E57=Calculation!$A$139,Calculation!G57,"")</f>
        <v/>
      </c>
      <c r="G58" s="54" t="str">
        <f>IF(Calculation!E57=Calculation!$A$139,Calculation!H57,"")</f>
        <v/>
      </c>
      <c r="H58" s="55"/>
    </row>
    <row r="59">
      <c r="A59" s="52" t="str">
        <f>IF(Calculation!E58=Calculation!$A$139,Calculation!B58,"")</f>
        <v/>
      </c>
      <c r="B59" s="53" t="str">
        <f>IF(Calculation!E58=Calculation!$A$139,Calculation!I58,"")</f>
        <v/>
      </c>
      <c r="C59" s="52" t="str">
        <f>IF(Calculation!E58=Calculation!$A$139,Calculation!D58,"")</f>
        <v/>
      </c>
      <c r="D59" s="52" t="str">
        <f>IF(Calculation!E58=Calculation!$A$139,Calculation!C58,"")</f>
        <v/>
      </c>
      <c r="E59" s="52" t="str">
        <f>IF(Calculation!E58=Calculation!$A$139,Calculation!F58,"")</f>
        <v/>
      </c>
      <c r="F59" s="54" t="str">
        <f>IF(Calculation!E58=Calculation!$A$139,Calculation!G58,"")</f>
        <v/>
      </c>
      <c r="G59" s="54" t="str">
        <f>IF(Calculation!E58=Calculation!$A$139,Calculation!H58,"")</f>
        <v/>
      </c>
      <c r="H59" s="55"/>
    </row>
    <row r="60">
      <c r="A60" s="52" t="str">
        <f>IF(Calculation!E59=Calculation!$A$139,Calculation!B59,"")</f>
        <v/>
      </c>
      <c r="B60" s="53" t="str">
        <f>IF(Calculation!E59=Calculation!$A$139,Calculation!I59,"")</f>
        <v/>
      </c>
      <c r="C60" s="52" t="str">
        <f>IF(Calculation!E59=Calculation!$A$139,Calculation!D59,"")</f>
        <v/>
      </c>
      <c r="D60" s="52" t="str">
        <f>IF(Calculation!E59=Calculation!$A$139,Calculation!C59,"")</f>
        <v/>
      </c>
      <c r="E60" s="52" t="str">
        <f>IF(Calculation!E59=Calculation!$A$139,Calculation!F59,"")</f>
        <v/>
      </c>
      <c r="F60" s="54" t="str">
        <f>IF(Calculation!E59=Calculation!$A$139,Calculation!G59,"")</f>
        <v/>
      </c>
      <c r="G60" s="54" t="str">
        <f>IF(Calculation!E59=Calculation!$A$139,Calculation!H59,"")</f>
        <v/>
      </c>
      <c r="H60" s="55"/>
    </row>
    <row r="61">
      <c r="A61" s="52" t="str">
        <f>IF(Calculation!E60=Calculation!$A$139,Calculation!B60,"")</f>
        <v/>
      </c>
      <c r="B61" s="53" t="str">
        <f>IF(Calculation!E60=Calculation!$A$139,Calculation!I60,"")</f>
        <v/>
      </c>
      <c r="C61" s="52" t="str">
        <f>IF(Calculation!E60=Calculation!$A$139,Calculation!D60,"")</f>
        <v/>
      </c>
      <c r="D61" s="52" t="str">
        <f>IF(Calculation!E60=Calculation!$A$139,Calculation!C60,"")</f>
        <v/>
      </c>
      <c r="E61" s="52" t="str">
        <f>IF(Calculation!E60=Calculation!$A$139,Calculation!F60,"")</f>
        <v/>
      </c>
      <c r="F61" s="54" t="str">
        <f>IF(Calculation!E60=Calculation!$A$139,Calculation!G60,"")</f>
        <v/>
      </c>
      <c r="G61" s="54" t="str">
        <f>IF(Calculation!E60=Calculation!$A$139,Calculation!H60,"")</f>
        <v/>
      </c>
      <c r="H61" s="55"/>
    </row>
    <row r="62">
      <c r="A62" s="52" t="str">
        <f>IF(Calculation!E61=Calculation!$A$139,Calculation!B61,"")</f>
        <v/>
      </c>
      <c r="B62" s="53" t="str">
        <f>IF(Calculation!E61=Calculation!$A$139,Calculation!I61,"")</f>
        <v/>
      </c>
      <c r="C62" s="52" t="str">
        <f>IF(Calculation!E61=Calculation!$A$139,Calculation!D61,"")</f>
        <v/>
      </c>
      <c r="D62" s="52" t="str">
        <f>IF(Calculation!E61=Calculation!$A$139,Calculation!C61,"")</f>
        <v/>
      </c>
      <c r="E62" s="52" t="str">
        <f>IF(Calculation!E61=Calculation!$A$139,Calculation!F61,"")</f>
        <v/>
      </c>
      <c r="F62" s="54" t="str">
        <f>IF(Calculation!E61=Calculation!$A$139,Calculation!G61,"")</f>
        <v/>
      </c>
      <c r="G62" s="54" t="str">
        <f>IF(Calculation!E61=Calculation!$A$139,Calculation!H61,"")</f>
        <v/>
      </c>
      <c r="H62" s="55"/>
    </row>
    <row r="63">
      <c r="A63" s="52" t="str">
        <f>IF(Calculation!E62=Calculation!$A$139,Calculation!B62,"")</f>
        <v/>
      </c>
      <c r="B63" s="53" t="str">
        <f>IF(Calculation!E62=Calculation!$A$139,Calculation!I62,"")</f>
        <v/>
      </c>
      <c r="C63" s="52" t="str">
        <f>IF(Calculation!E62=Calculation!$A$139,Calculation!D62,"")</f>
        <v/>
      </c>
      <c r="D63" s="52" t="str">
        <f>IF(Calculation!E62=Calculation!$A$139,Calculation!C62,"")</f>
        <v/>
      </c>
      <c r="E63" s="52" t="str">
        <f>IF(Calculation!E62=Calculation!$A$139,Calculation!F62,"")</f>
        <v/>
      </c>
      <c r="F63" s="54" t="str">
        <f>IF(Calculation!E62=Calculation!$A$139,Calculation!G62,"")</f>
        <v/>
      </c>
      <c r="G63" s="54" t="str">
        <f>IF(Calculation!E62=Calculation!$A$139,Calculation!H62,"")</f>
        <v/>
      </c>
      <c r="H63" s="55"/>
    </row>
    <row r="64">
      <c r="A64" s="52" t="str">
        <f>IF(Calculation!E63=Calculation!$A$139,Calculation!B63,"")</f>
        <v/>
      </c>
      <c r="B64" s="53" t="str">
        <f>IF(Calculation!E63=Calculation!$A$139,Calculation!I63,"")</f>
        <v/>
      </c>
      <c r="C64" s="52" t="str">
        <f>IF(Calculation!E63=Calculation!$A$139,Calculation!D63,"")</f>
        <v/>
      </c>
      <c r="D64" s="52" t="str">
        <f>IF(Calculation!E63=Calculation!$A$139,Calculation!C63,"")</f>
        <v/>
      </c>
      <c r="E64" s="52" t="str">
        <f>IF(Calculation!E63=Calculation!$A$139,Calculation!F63,"")</f>
        <v/>
      </c>
      <c r="F64" s="54" t="str">
        <f>IF(Calculation!E63=Calculation!$A$139,Calculation!G63,"")</f>
        <v/>
      </c>
      <c r="G64" s="54" t="str">
        <f>IF(Calculation!E63=Calculation!$A$139,Calculation!H63,"")</f>
        <v/>
      </c>
      <c r="H64" s="55"/>
    </row>
    <row r="65">
      <c r="A65" s="52" t="str">
        <f>IF(Calculation!E64=Calculation!$A$139,Calculation!B64,"")</f>
        <v/>
      </c>
      <c r="B65" s="53" t="str">
        <f>IF(Calculation!E64=Calculation!$A$139,Calculation!I64,"")</f>
        <v/>
      </c>
      <c r="C65" s="52" t="str">
        <f>IF(Calculation!E64=Calculation!$A$139,Calculation!D64,"")</f>
        <v/>
      </c>
      <c r="D65" s="52" t="str">
        <f>IF(Calculation!E64=Calculation!$A$139,Calculation!C64,"")</f>
        <v/>
      </c>
      <c r="E65" s="52" t="str">
        <f>IF(Calculation!E64=Calculation!$A$139,Calculation!F64,"")</f>
        <v/>
      </c>
      <c r="F65" s="54" t="str">
        <f>IF(Calculation!E64=Calculation!$A$139,Calculation!G64,"")</f>
        <v/>
      </c>
      <c r="G65" s="54" t="str">
        <f>IF(Calculation!E64=Calculation!$A$139,Calculation!H64,"")</f>
        <v/>
      </c>
      <c r="H65" s="55"/>
    </row>
    <row r="66">
      <c r="A66" s="52" t="str">
        <f>IF(Calculation!E65=Calculation!$A$139,Calculation!B65,"")</f>
        <v/>
      </c>
      <c r="B66" s="53" t="str">
        <f>IF(Calculation!E65=Calculation!$A$139,Calculation!I65,"")</f>
        <v/>
      </c>
      <c r="C66" s="52" t="str">
        <f>IF(Calculation!E65=Calculation!$A$139,Calculation!D65,"")</f>
        <v/>
      </c>
      <c r="D66" s="52" t="str">
        <f>IF(Calculation!E65=Calculation!$A$139,Calculation!C65,"")</f>
        <v/>
      </c>
      <c r="E66" s="52" t="str">
        <f>IF(Calculation!E65=Calculation!$A$139,Calculation!F65,"")</f>
        <v/>
      </c>
      <c r="F66" s="54" t="str">
        <f>IF(Calculation!E65=Calculation!$A$139,Calculation!G65,"")</f>
        <v/>
      </c>
      <c r="G66" s="54" t="str">
        <f>IF(Calculation!E65=Calculation!$A$139,Calculation!H65,"")</f>
        <v/>
      </c>
      <c r="H66" s="55"/>
    </row>
    <row r="67">
      <c r="A67" s="52" t="str">
        <f>IF(Calculation!E66=Calculation!$A$139,Calculation!B66,"")</f>
        <v/>
      </c>
      <c r="B67" s="53" t="str">
        <f>IF(Calculation!E66=Calculation!$A$139,Calculation!I66,"")</f>
        <v/>
      </c>
      <c r="C67" s="52" t="str">
        <f>IF(Calculation!E66=Calculation!$A$139,Calculation!D66,"")</f>
        <v/>
      </c>
      <c r="D67" s="52" t="str">
        <f>IF(Calculation!E66=Calculation!$A$139,Calculation!C66,"")</f>
        <v/>
      </c>
      <c r="E67" s="52" t="str">
        <f>IF(Calculation!E66=Calculation!$A$139,Calculation!F66,"")</f>
        <v/>
      </c>
      <c r="F67" s="54" t="str">
        <f>IF(Calculation!E66=Calculation!$A$139,Calculation!G66,"")</f>
        <v/>
      </c>
      <c r="G67" s="54" t="str">
        <f>IF(Calculation!E66=Calculation!$A$139,Calculation!H66,"")</f>
        <v/>
      </c>
      <c r="H67" s="55"/>
    </row>
    <row r="68">
      <c r="A68" s="52" t="str">
        <f>IF(Calculation!E67=Calculation!$A$139,Calculation!B67,"")</f>
        <v/>
      </c>
      <c r="B68" s="53" t="str">
        <f>IF(Calculation!E67=Calculation!$A$139,Calculation!I67,"")</f>
        <v/>
      </c>
      <c r="C68" s="52" t="str">
        <f>IF(Calculation!E67=Calculation!$A$139,Calculation!D67,"")</f>
        <v/>
      </c>
      <c r="D68" s="52" t="str">
        <f>IF(Calculation!E67=Calculation!$A$139,Calculation!C67,"")</f>
        <v/>
      </c>
      <c r="E68" s="52" t="str">
        <f>IF(Calculation!E67=Calculation!$A$139,Calculation!F67,"")</f>
        <v/>
      </c>
      <c r="F68" s="54" t="str">
        <f>IF(Calculation!E67=Calculation!$A$139,Calculation!G67,"")</f>
        <v/>
      </c>
      <c r="G68" s="54" t="str">
        <f>IF(Calculation!E67=Calculation!$A$139,Calculation!H67,"")</f>
        <v/>
      </c>
      <c r="H68" s="55"/>
    </row>
    <row r="69">
      <c r="A69" s="52" t="str">
        <f>IF(Calculation!E68=Calculation!$A$139,Calculation!B68,"")</f>
        <v/>
      </c>
      <c r="B69" s="53" t="str">
        <f>IF(Calculation!E68=Calculation!$A$139,Calculation!I68,"")</f>
        <v/>
      </c>
      <c r="C69" s="52" t="str">
        <f>IF(Calculation!E68=Calculation!$A$139,Calculation!D68,"")</f>
        <v/>
      </c>
      <c r="D69" s="52" t="str">
        <f>IF(Calculation!E68=Calculation!$A$139,Calculation!C68,"")</f>
        <v/>
      </c>
      <c r="E69" s="52" t="str">
        <f>IF(Calculation!E68=Calculation!$A$139,Calculation!F68,"")</f>
        <v/>
      </c>
      <c r="F69" s="54" t="str">
        <f>IF(Calculation!E68=Calculation!$A$139,Calculation!G68,"")</f>
        <v/>
      </c>
      <c r="G69" s="54" t="str">
        <f>IF(Calculation!E68=Calculation!$A$139,Calculation!H68,"")</f>
        <v/>
      </c>
      <c r="H69" s="55"/>
    </row>
    <row r="70">
      <c r="A70" s="52" t="str">
        <f>IF(Calculation!E69=Calculation!$A$139,Calculation!B69,"")</f>
        <v/>
      </c>
      <c r="B70" s="53" t="str">
        <f>IF(Calculation!E69=Calculation!$A$139,Calculation!I69,"")</f>
        <v/>
      </c>
      <c r="C70" s="52" t="str">
        <f>IF(Calculation!E69=Calculation!$A$139,Calculation!D69,"")</f>
        <v/>
      </c>
      <c r="D70" s="52" t="str">
        <f>IF(Calculation!E69=Calculation!$A$139,Calculation!C69,"")</f>
        <v/>
      </c>
      <c r="E70" s="52" t="str">
        <f>IF(Calculation!E69=Calculation!$A$139,Calculation!F69,"")</f>
        <v/>
      </c>
      <c r="F70" s="54" t="str">
        <f>IF(Calculation!E69=Calculation!$A$139,Calculation!G69,"")</f>
        <v/>
      </c>
      <c r="G70" s="54" t="str">
        <f>IF(Calculation!E69=Calculation!$A$139,Calculation!H69,"")</f>
        <v/>
      </c>
      <c r="H70" s="55"/>
    </row>
    <row r="71">
      <c r="A71" s="52" t="str">
        <f>IF(Calculation!E70=Calculation!$A$139,Calculation!B70,"")</f>
        <v/>
      </c>
      <c r="B71" s="53" t="str">
        <f>IF(Calculation!E70=Calculation!$A$139,Calculation!I70,"")</f>
        <v/>
      </c>
      <c r="C71" s="52" t="str">
        <f>IF(Calculation!E70=Calculation!$A$139,Calculation!D70,"")</f>
        <v/>
      </c>
      <c r="D71" s="52" t="str">
        <f>IF(Calculation!E70=Calculation!$A$139,Calculation!C70,"")</f>
        <v/>
      </c>
      <c r="E71" s="52" t="str">
        <f>IF(Calculation!E70=Calculation!$A$139,Calculation!F70,"")</f>
        <v/>
      </c>
      <c r="F71" s="54" t="str">
        <f>IF(Calculation!E70=Calculation!$A$139,Calculation!G70,"")</f>
        <v/>
      </c>
      <c r="G71" s="54" t="str">
        <f>IF(Calculation!E70=Calculation!$A$139,Calculation!H70,"")</f>
        <v/>
      </c>
      <c r="H71" s="55"/>
    </row>
    <row r="72">
      <c r="A72" s="52" t="str">
        <f>IF(Calculation!E71=Calculation!$A$139,Calculation!B71,"")</f>
        <v/>
      </c>
      <c r="B72" s="53" t="str">
        <f>IF(Calculation!E71=Calculation!$A$139,Calculation!I71,"")</f>
        <v/>
      </c>
      <c r="C72" s="52" t="str">
        <f>IF(Calculation!E71=Calculation!$A$139,Calculation!D71,"")</f>
        <v/>
      </c>
      <c r="D72" s="52" t="str">
        <f>IF(Calculation!E71=Calculation!$A$139,Calculation!C71,"")</f>
        <v/>
      </c>
      <c r="E72" s="52" t="str">
        <f>IF(Calculation!E71=Calculation!$A$139,Calculation!F71,"")</f>
        <v/>
      </c>
      <c r="F72" s="54" t="str">
        <f>IF(Calculation!E71=Calculation!$A$139,Calculation!G71,"")</f>
        <v/>
      </c>
      <c r="G72" s="54" t="str">
        <f>IF(Calculation!E71=Calculation!$A$139,Calculation!H71,"")</f>
        <v/>
      </c>
      <c r="H72" s="55"/>
    </row>
    <row r="73">
      <c r="A73" s="52" t="str">
        <f>IF(Calculation!E72=Calculation!$A$139,Calculation!B72,"")</f>
        <v/>
      </c>
      <c r="B73" s="53" t="str">
        <f>IF(Calculation!E72=Calculation!$A$139,Calculation!I72,"")</f>
        <v/>
      </c>
      <c r="C73" s="52" t="str">
        <f>IF(Calculation!E72=Calculation!$A$139,Calculation!D72,"")</f>
        <v/>
      </c>
      <c r="D73" s="52" t="str">
        <f>IF(Calculation!E72=Calculation!$A$139,Calculation!C72,"")</f>
        <v/>
      </c>
      <c r="E73" s="52" t="str">
        <f>IF(Calculation!E72=Calculation!$A$139,Calculation!F72,"")</f>
        <v/>
      </c>
      <c r="F73" s="54" t="str">
        <f>IF(Calculation!E72=Calculation!$A$139,Calculation!G72,"")</f>
        <v/>
      </c>
      <c r="G73" s="54" t="str">
        <f>IF(Calculation!E72=Calculation!$A$139,Calculation!H72,"")</f>
        <v/>
      </c>
      <c r="H73" s="55"/>
    </row>
    <row r="74">
      <c r="A74" s="52" t="str">
        <f>IF(Calculation!E73=Calculation!$A$139,Calculation!B73,"")</f>
        <v/>
      </c>
      <c r="B74" s="53" t="str">
        <f>IF(Calculation!E73=Calculation!$A$139,Calculation!I73,"")</f>
        <v/>
      </c>
      <c r="C74" s="52" t="str">
        <f>IF(Calculation!E73=Calculation!$A$139,Calculation!D73,"")</f>
        <v/>
      </c>
      <c r="D74" s="52" t="str">
        <f>IF(Calculation!E73=Calculation!$A$139,Calculation!C73,"")</f>
        <v/>
      </c>
      <c r="E74" s="52" t="str">
        <f>IF(Calculation!E73=Calculation!$A$139,Calculation!F73,"")</f>
        <v/>
      </c>
      <c r="F74" s="54" t="str">
        <f>IF(Calculation!E73=Calculation!$A$139,Calculation!G73,"")</f>
        <v/>
      </c>
      <c r="G74" s="54" t="str">
        <f>IF(Calculation!E73=Calculation!$A$139,Calculation!H73,"")</f>
        <v/>
      </c>
      <c r="H74" s="55"/>
    </row>
    <row r="75">
      <c r="A75" s="52" t="str">
        <f>IF(Calculation!E74=Calculation!$A$139,Calculation!B74,"")</f>
        <v/>
      </c>
      <c r="B75" s="53" t="str">
        <f>IF(Calculation!E74=Calculation!$A$139,Calculation!I74,"")</f>
        <v/>
      </c>
      <c r="C75" s="52" t="str">
        <f>IF(Calculation!E74=Calculation!$A$139,Calculation!D74,"")</f>
        <v/>
      </c>
      <c r="D75" s="52" t="str">
        <f>IF(Calculation!E74=Calculation!$A$139,Calculation!C74,"")</f>
        <v/>
      </c>
      <c r="E75" s="52" t="str">
        <f>IF(Calculation!E74=Calculation!$A$139,Calculation!F74,"")</f>
        <v/>
      </c>
      <c r="F75" s="54" t="str">
        <f>IF(Calculation!E74=Calculation!$A$139,Calculation!G74,"")</f>
        <v/>
      </c>
      <c r="G75" s="54" t="str">
        <f>IF(Calculation!E74=Calculation!$A$139,Calculation!H74,"")</f>
        <v/>
      </c>
      <c r="H75" s="55"/>
    </row>
    <row r="76">
      <c r="A76" s="52" t="str">
        <f>IF(Calculation!E75=Calculation!$A$139,Calculation!B75,"")</f>
        <v/>
      </c>
      <c r="B76" s="53" t="str">
        <f>IF(Calculation!E75=Calculation!$A$139,Calculation!I75,"")</f>
        <v/>
      </c>
      <c r="C76" s="52" t="str">
        <f>IF(Calculation!E75=Calculation!$A$139,Calculation!D75,"")</f>
        <v/>
      </c>
      <c r="D76" s="52" t="str">
        <f>IF(Calculation!E75=Calculation!$A$139,Calculation!C75,"")</f>
        <v/>
      </c>
      <c r="E76" s="52" t="str">
        <f>IF(Calculation!E75=Calculation!$A$139,Calculation!F75,"")</f>
        <v/>
      </c>
      <c r="F76" s="54" t="str">
        <f>IF(Calculation!E75=Calculation!$A$139,Calculation!G75,"")</f>
        <v/>
      </c>
      <c r="G76" s="54" t="str">
        <f>IF(Calculation!E75=Calculation!$A$139,Calculation!H75,"")</f>
        <v/>
      </c>
      <c r="H76" s="55"/>
    </row>
    <row r="77">
      <c r="A77" s="52" t="str">
        <f>IF(Calculation!E76=Calculation!$A$139,Calculation!B76,"")</f>
        <v/>
      </c>
      <c r="B77" s="53" t="str">
        <f>IF(Calculation!E76=Calculation!$A$139,Calculation!I76,"")</f>
        <v/>
      </c>
      <c r="C77" s="52" t="str">
        <f>IF(Calculation!E76=Calculation!$A$139,Calculation!D76,"")</f>
        <v/>
      </c>
      <c r="D77" s="52" t="str">
        <f>IF(Calculation!E76=Calculation!$A$139,Calculation!C76,"")</f>
        <v/>
      </c>
      <c r="E77" s="52" t="str">
        <f>IF(Calculation!E76=Calculation!$A$139,Calculation!F76,"")</f>
        <v/>
      </c>
      <c r="F77" s="54" t="str">
        <f>IF(Calculation!E76=Calculation!$A$139,Calculation!G76,"")</f>
        <v/>
      </c>
      <c r="G77" s="54" t="str">
        <f>IF(Calculation!E76=Calculation!$A$139,Calculation!H76,"")</f>
        <v/>
      </c>
      <c r="H77" s="55"/>
    </row>
    <row r="78" ht="22.5" customHeight="1">
      <c r="A78" s="52" t="str">
        <f>IF(Calculation!E77=Calculation!$A$139,Calculation!B77,"")</f>
        <v/>
      </c>
      <c r="B78" s="53" t="str">
        <f>IF(Calculation!E77=Calculation!$A$139,Calculation!I77,"")</f>
        <v/>
      </c>
      <c r="C78" s="52" t="str">
        <f>IF(Calculation!E77=Calculation!$A$139,Calculation!D77,"")</f>
        <v/>
      </c>
      <c r="D78" s="52" t="str">
        <f>IF(Calculation!E77=Calculation!$A$139,Calculation!C77,"")</f>
        <v/>
      </c>
      <c r="E78" s="52" t="str">
        <f>IF(Calculation!E77=Calculation!$A$139,Calculation!F77,"")</f>
        <v/>
      </c>
      <c r="F78" s="54" t="str">
        <f>IF(Calculation!E77=Calculation!$A$139,Calculation!G77,"")</f>
        <v/>
      </c>
      <c r="G78" s="54" t="str">
        <f>IF(Calculation!E77=Calculation!$A$139,Calculation!H77,"")</f>
        <v/>
      </c>
      <c r="H78" s="55"/>
    </row>
    <row r="79" ht="21.75" customHeight="1">
      <c r="A79" s="52" t="str">
        <f>IF(Calculation!E78=Calculation!$A$139,Calculation!B78,"")</f>
        <v/>
      </c>
      <c r="B79" s="53" t="str">
        <f>IF(Calculation!E78=Calculation!$A$139,Calculation!I78,"")</f>
        <v/>
      </c>
      <c r="C79" s="52" t="str">
        <f>IF(Calculation!E78=Calculation!$A$139,Calculation!D78,"")</f>
        <v/>
      </c>
      <c r="D79" s="52" t="str">
        <f>IF(Calculation!E78=Calculation!$A$139,Calculation!C78,"")</f>
        <v/>
      </c>
      <c r="E79" s="52" t="str">
        <f>IF(Calculation!E78=Calculation!$A$139,Calculation!F78,"")</f>
        <v/>
      </c>
      <c r="F79" s="54" t="str">
        <f>IF(Calculation!E78=Calculation!$A$139,Calculation!G78,"")</f>
        <v/>
      </c>
      <c r="G79" s="54" t="str">
        <f>IF(Calculation!E78=Calculation!$A$139,Calculation!H78,"")</f>
        <v/>
      </c>
      <c r="H79" s="55"/>
    </row>
    <row r="80" ht="24.0" customHeight="1">
      <c r="A80" s="52" t="str">
        <f>IF(Calculation!E79=Calculation!$A$139,Calculation!B79,"")</f>
        <v/>
      </c>
      <c r="B80" s="53" t="str">
        <f>IF(Calculation!E79=Calculation!$A$139,Calculation!I79,"")</f>
        <v/>
      </c>
      <c r="C80" s="52" t="str">
        <f>IF(Calculation!E79=Calculation!$A$139,Calculation!D79,"")</f>
        <v/>
      </c>
      <c r="D80" s="52" t="str">
        <f>IF(Calculation!E79=Calculation!$A$139,Calculation!C79,"")</f>
        <v/>
      </c>
      <c r="E80" s="52" t="str">
        <f>IF(Calculation!E79=Calculation!$A$139,Calculation!F79,"")</f>
        <v/>
      </c>
      <c r="F80" s="54" t="str">
        <f>IF(Calculation!E79=Calculation!$A$139,Calculation!G79,"")</f>
        <v/>
      </c>
      <c r="G80" s="54" t="str">
        <f>IF(Calculation!E79=Calculation!$A$139,Calculation!H79,"")</f>
        <v/>
      </c>
      <c r="H80" s="55"/>
    </row>
    <row r="81" ht="21.75" customHeight="1">
      <c r="A81" s="52" t="str">
        <f>IF(Calculation!E80=Calculation!$A$139,Calculation!B80,"")</f>
        <v/>
      </c>
      <c r="B81" s="53" t="str">
        <f>IF(Calculation!E80=Calculation!$A$139,Calculation!I80,"")</f>
        <v/>
      </c>
      <c r="C81" s="52" t="str">
        <f>IF(Calculation!E80=Calculation!$A$139,Calculation!D80,"")</f>
        <v/>
      </c>
      <c r="D81" s="52" t="str">
        <f>IF(Calculation!E80=Calculation!$A$139,Calculation!C80,"")</f>
        <v/>
      </c>
      <c r="E81" s="52" t="str">
        <f>IF(Calculation!E80=Calculation!$A$139,Calculation!F80,"")</f>
        <v/>
      </c>
      <c r="F81" s="54" t="str">
        <f>IF(Calculation!E80=Calculation!$A$139,Calculation!G80,"")</f>
        <v/>
      </c>
      <c r="G81" s="54" t="str">
        <f>IF(Calculation!E80=Calculation!$A$139,Calculation!H80,"")</f>
        <v/>
      </c>
      <c r="H81" s="55"/>
    </row>
    <row r="82" ht="20.25" customHeight="1">
      <c r="A82" s="52" t="str">
        <f>IF(Calculation!E81=Calculation!$A$139,Calculation!B81,"")</f>
        <v/>
      </c>
      <c r="B82" s="53" t="str">
        <f>IF(Calculation!E81=Calculation!$A$139,Calculation!I81,"")</f>
        <v/>
      </c>
      <c r="C82" s="52" t="str">
        <f>IF(Calculation!E81=Calculation!$A$139,Calculation!D81,"")</f>
        <v/>
      </c>
      <c r="D82" s="52" t="str">
        <f>IF(Calculation!E81=Calculation!$A$139,Calculation!C81,"")</f>
        <v/>
      </c>
      <c r="E82" s="52" t="str">
        <f>IF(Calculation!E81=Calculation!$A$139,Calculation!F81,"")</f>
        <v/>
      </c>
      <c r="F82" s="54" t="str">
        <f>IF(Calculation!E81=Calculation!$A$139,Calculation!G81,"")</f>
        <v/>
      </c>
      <c r="G82" s="54" t="str">
        <f>IF(Calculation!E81=Calculation!$A$139,Calculation!H81,"")</f>
        <v/>
      </c>
      <c r="H82" s="55"/>
    </row>
    <row r="83">
      <c r="A83" s="52" t="str">
        <f>IF(Calculation!E82=Calculation!$A$139,Calculation!B82,"")</f>
        <v/>
      </c>
      <c r="B83" s="53" t="str">
        <f>IF(Calculation!E82=Calculation!$A$139,Calculation!I82,"")</f>
        <v/>
      </c>
      <c r="C83" s="52" t="str">
        <f>IF(Calculation!E82=Calculation!$A$139,Calculation!D82,"")</f>
        <v/>
      </c>
      <c r="D83" s="52" t="str">
        <f>IF(Calculation!E82=Calculation!$A$139,Calculation!C82,"")</f>
        <v/>
      </c>
      <c r="E83" s="52" t="str">
        <f>IF(Calculation!E82=Calculation!$A$139,Calculation!F82,"")</f>
        <v/>
      </c>
      <c r="F83" s="54" t="str">
        <f>IF(Calculation!E82=Calculation!$A$139,Calculation!G82,"")</f>
        <v/>
      </c>
      <c r="G83" s="54" t="str">
        <f>IF(Calculation!E82=Calculation!$A$139,Calculation!H82,"")</f>
        <v/>
      </c>
      <c r="H83" s="55"/>
    </row>
    <row r="84">
      <c r="A84" s="52" t="str">
        <f>IF(Calculation!E83=Calculation!$A$139,Calculation!B83,"")</f>
        <v/>
      </c>
      <c r="B84" s="53" t="str">
        <f>IF(Calculation!E83=Calculation!$A$139,Calculation!I83,"")</f>
        <v/>
      </c>
      <c r="C84" s="52" t="str">
        <f>IF(Calculation!E83=Calculation!$A$139,Calculation!D83,"")</f>
        <v/>
      </c>
      <c r="D84" s="52" t="str">
        <f>IF(Calculation!E83=Calculation!$A$139,Calculation!C83,"")</f>
        <v/>
      </c>
      <c r="E84" s="52" t="str">
        <f>IF(Calculation!E83=Calculation!$A$139,Calculation!F83,"")</f>
        <v/>
      </c>
      <c r="F84" s="54" t="str">
        <f>IF(Calculation!E83=Calculation!$A$139,Calculation!G83,"")</f>
        <v/>
      </c>
      <c r="G84" s="54" t="str">
        <f>IF(Calculation!E83=Calculation!$A$139,Calculation!H83,"")</f>
        <v/>
      </c>
      <c r="H84" s="55"/>
    </row>
    <row r="85">
      <c r="A85" s="52" t="str">
        <f>IF(Calculation!E84=Calculation!$A$139,Calculation!B84,"")</f>
        <v/>
      </c>
      <c r="B85" s="53" t="str">
        <f>IF(Calculation!E84=Calculation!$A$139,Calculation!I84,"")</f>
        <v/>
      </c>
      <c r="C85" s="52" t="str">
        <f>IF(Calculation!E84=Calculation!$A$139,Calculation!D84,"")</f>
        <v/>
      </c>
      <c r="D85" s="52" t="str">
        <f>IF(Calculation!E84=Calculation!$A$139,Calculation!C84,"")</f>
        <v/>
      </c>
      <c r="E85" s="52" t="str">
        <f>IF(Calculation!E84=Calculation!$A$139,Calculation!F84,"")</f>
        <v/>
      </c>
      <c r="F85" s="54" t="str">
        <f>IF(Calculation!E84=Calculation!$A$139,Calculation!G84,"")</f>
        <v/>
      </c>
      <c r="G85" s="54" t="str">
        <f>IF(Calculation!E84=Calculation!$A$139,Calculation!H84,"")</f>
        <v/>
      </c>
      <c r="H85" s="55"/>
    </row>
    <row r="86">
      <c r="A86" s="52" t="str">
        <f>IF(Calculation!E85=Calculation!$A$139,Calculation!B85,"")</f>
        <v/>
      </c>
      <c r="B86" s="53" t="str">
        <f>IF(Calculation!E85=Calculation!$A$139,Calculation!I85,"")</f>
        <v/>
      </c>
      <c r="C86" s="52" t="str">
        <f>IF(Calculation!E85=Calculation!$A$139,Calculation!D85,"")</f>
        <v/>
      </c>
      <c r="D86" s="52" t="str">
        <f>IF(Calculation!E85=Calculation!$A$139,Calculation!C85,"")</f>
        <v/>
      </c>
      <c r="E86" s="52" t="str">
        <f>IF(Calculation!E85=Calculation!$A$139,Calculation!F85,"")</f>
        <v/>
      </c>
      <c r="F86" s="54" t="str">
        <f>IF(Calculation!E85=Calculation!$A$139,Calculation!G85,"")</f>
        <v/>
      </c>
      <c r="G86" s="54" t="str">
        <f>IF(Calculation!E85=Calculation!$A$139,Calculation!H85,"")</f>
        <v/>
      </c>
      <c r="H86" s="55"/>
    </row>
    <row r="87">
      <c r="A87" s="52" t="str">
        <f>IF(Calculation!E86=Calculation!$A$139,Calculation!B86,"")</f>
        <v/>
      </c>
      <c r="B87" s="53" t="str">
        <f>IF(Calculation!E86=Calculation!$A$139,Calculation!I86,"")</f>
        <v/>
      </c>
      <c r="C87" s="52" t="str">
        <f>IF(Calculation!E86=Calculation!$A$139,Calculation!D86,"")</f>
        <v/>
      </c>
      <c r="D87" s="52" t="str">
        <f>IF(Calculation!E86=Calculation!$A$139,Calculation!C86,"")</f>
        <v/>
      </c>
      <c r="E87" s="52" t="str">
        <f>IF(Calculation!E86=Calculation!$A$139,Calculation!F86,"")</f>
        <v/>
      </c>
      <c r="F87" s="54" t="str">
        <f>IF(Calculation!E86=Calculation!$A$139,Calculation!G86,"")</f>
        <v/>
      </c>
      <c r="G87" s="54" t="str">
        <f>IF(Calculation!E86=Calculation!$A$139,Calculation!H86,"")</f>
        <v/>
      </c>
      <c r="H87" s="55"/>
    </row>
    <row r="88">
      <c r="A88" s="52" t="str">
        <f>IF(Calculation!E87=Calculation!$A$139,Calculation!B87,"")</f>
        <v/>
      </c>
      <c r="B88" s="53" t="str">
        <f>IF(Calculation!E87=Calculation!$A$139,Calculation!I87,"")</f>
        <v/>
      </c>
      <c r="C88" s="52" t="str">
        <f>IF(Calculation!E87=Calculation!$A$139,Calculation!D87,"")</f>
        <v/>
      </c>
      <c r="D88" s="52" t="str">
        <f>IF(Calculation!E87=Calculation!$A$139,Calculation!C87,"")</f>
        <v/>
      </c>
      <c r="E88" s="52" t="str">
        <f>IF(Calculation!E87=Calculation!$A$139,Calculation!F87,"")</f>
        <v/>
      </c>
      <c r="F88" s="54" t="str">
        <f>IF(Calculation!E87=Calculation!$A$139,Calculation!G87,"")</f>
        <v/>
      </c>
      <c r="G88" s="54" t="str">
        <f>IF(Calculation!E87=Calculation!$A$139,Calculation!H87,"")</f>
        <v/>
      </c>
      <c r="H88" s="55"/>
    </row>
    <row r="89">
      <c r="A89" s="52" t="str">
        <f>IF(Calculation!E88=Calculation!$A$139,Calculation!B88,"")</f>
        <v/>
      </c>
      <c r="B89" s="53" t="str">
        <f>IF(Calculation!E88=Calculation!$A$139,Calculation!I88,"")</f>
        <v/>
      </c>
      <c r="C89" s="52" t="str">
        <f>IF(Calculation!E88=Calculation!$A$139,Calculation!D88,"")</f>
        <v/>
      </c>
      <c r="D89" s="52" t="str">
        <f>IF(Calculation!E88=Calculation!$A$139,Calculation!C88,"")</f>
        <v/>
      </c>
      <c r="E89" s="52" t="str">
        <f>IF(Calculation!E88=Calculation!$A$139,Calculation!F88,"")</f>
        <v/>
      </c>
      <c r="F89" s="54" t="str">
        <f>IF(Calculation!E88=Calculation!$A$139,Calculation!G88,"")</f>
        <v/>
      </c>
      <c r="G89" s="54" t="str">
        <f>IF(Calculation!E88=Calculation!$A$139,Calculation!H88,"")</f>
        <v/>
      </c>
      <c r="H89" s="55"/>
    </row>
    <row r="90">
      <c r="A90" s="52" t="str">
        <f>IF(Calculation!E89=Calculation!$A$139,Calculation!B89,"")</f>
        <v/>
      </c>
      <c r="B90" s="53" t="str">
        <f>IF(Calculation!E89=Calculation!$A$139,Calculation!I89,"")</f>
        <v/>
      </c>
      <c r="C90" s="52" t="str">
        <f>IF(Calculation!E89=Calculation!$A$139,Calculation!D89,"")</f>
        <v/>
      </c>
      <c r="D90" s="52" t="str">
        <f>IF(Calculation!E89=Calculation!$A$139,Calculation!C89,"")</f>
        <v/>
      </c>
      <c r="E90" s="52" t="str">
        <f>IF(Calculation!E89=Calculation!$A$139,Calculation!F89,"")</f>
        <v/>
      </c>
      <c r="F90" s="54" t="str">
        <f>IF(Calculation!E89=Calculation!$A$139,Calculation!G89,"")</f>
        <v/>
      </c>
      <c r="G90" s="54" t="str">
        <f>IF(Calculation!E89=Calculation!$A$139,Calculation!H89,"")</f>
        <v/>
      </c>
      <c r="H90" s="55"/>
    </row>
    <row r="91">
      <c r="A91" s="52" t="str">
        <f>IF(Calculation!E90=Calculation!$A$139,Calculation!B90,"")</f>
        <v/>
      </c>
      <c r="B91" s="53" t="str">
        <f>IF(Calculation!E90=Calculation!$A$139,Calculation!I90,"")</f>
        <v/>
      </c>
      <c r="C91" s="52" t="str">
        <f>IF(Calculation!E90=Calculation!$A$139,Calculation!D90,"")</f>
        <v/>
      </c>
      <c r="D91" s="52" t="str">
        <f>IF(Calculation!E90=Calculation!$A$139,Calculation!C90,"")</f>
        <v/>
      </c>
      <c r="E91" s="52" t="str">
        <f>IF(Calculation!E90=Calculation!$A$139,Calculation!F90,"")</f>
        <v/>
      </c>
      <c r="F91" s="54" t="str">
        <f>IF(Calculation!E90=Calculation!$A$139,Calculation!G90,"")</f>
        <v/>
      </c>
      <c r="G91" s="54" t="str">
        <f>IF(Calculation!E90=Calculation!$A$139,Calculation!H90,"")</f>
        <v/>
      </c>
      <c r="H91" s="55"/>
    </row>
    <row r="92">
      <c r="A92" s="52" t="str">
        <f>IF(Calculation!E91=Calculation!$A$139,Calculation!B91,"")</f>
        <v/>
      </c>
      <c r="B92" s="53" t="str">
        <f>IF(Calculation!E91=Calculation!$A$139,Calculation!I91,"")</f>
        <v/>
      </c>
      <c r="C92" s="52" t="str">
        <f>IF(Calculation!E91=Calculation!$A$139,Calculation!D91,"")</f>
        <v/>
      </c>
      <c r="D92" s="52" t="str">
        <f>IF(Calculation!E91=Calculation!$A$139,Calculation!C91,"")</f>
        <v/>
      </c>
      <c r="E92" s="52" t="str">
        <f>IF(Calculation!E91=Calculation!$A$139,Calculation!F91,"")</f>
        <v/>
      </c>
      <c r="F92" s="54" t="str">
        <f>IF(Calculation!E91=Calculation!$A$139,Calculation!G91,"")</f>
        <v/>
      </c>
      <c r="G92" s="54" t="str">
        <f>IF(Calculation!E91=Calculation!$A$139,Calculation!H91,"")</f>
        <v/>
      </c>
      <c r="H92" s="55"/>
    </row>
    <row r="93">
      <c r="A93" s="57">
        <f>IF(Calculation!E92=Calculation!$A$139,Calculation!B92,"")</f>
        <v>45462</v>
      </c>
      <c r="B93" s="53" t="str">
        <f>IF(Calculation!E92=Calculation!$A$139,Calculation!I92,"")</f>
        <v/>
      </c>
      <c r="C93" s="52" t="str">
        <f>IF(Calculation!E92=Calculation!$A$139,Calculation!D92,"")</f>
        <v>Vishnu Kalpamangalam</v>
      </c>
      <c r="D93" s="52" t="str">
        <f>IF(Calculation!E92=Calculation!$A$139,Calculation!C92,"")</f>
        <v>Poster Design</v>
      </c>
      <c r="E93" s="52">
        <f>IF(Calculation!E92=Calculation!$A$139,Calculation!F92,"")</f>
        <v>2</v>
      </c>
      <c r="F93" s="54">
        <f>IF(Calculation!E92=Calculation!$A$139,Calculation!G92,"")</f>
        <v>140</v>
      </c>
      <c r="G93" s="54">
        <f>IF(Calculation!E92=Calculation!$A$139,Calculation!H92,"")</f>
        <v>280</v>
      </c>
      <c r="H93" s="55"/>
    </row>
    <row r="94">
      <c r="A94" s="52" t="str">
        <f>IF(Calculation!E93=Calculation!$A$139,Calculation!B93,"")</f>
        <v/>
      </c>
      <c r="B94" s="53" t="str">
        <f>IF(Calculation!E93=Calculation!$A$139,Calculation!I93,"")</f>
        <v/>
      </c>
      <c r="C94" s="52" t="str">
        <f>IF(Calculation!E93=Calculation!$A$139,Calculation!D93,"")</f>
        <v/>
      </c>
      <c r="D94" s="52" t="str">
        <f>IF(Calculation!E93=Calculation!$A$139,Calculation!C93,"")</f>
        <v/>
      </c>
      <c r="E94" s="52" t="str">
        <f>IF(Calculation!E93=Calculation!$A$139,Calculation!F93,"")</f>
        <v/>
      </c>
      <c r="F94" s="54" t="str">
        <f>IF(Calculation!E93=Calculation!$A$139,Calculation!G93,"")</f>
        <v/>
      </c>
      <c r="G94" s="54" t="str">
        <f>IF(Calculation!E93=Calculation!$A$139,Calculation!H93,"")</f>
        <v/>
      </c>
      <c r="H94" s="55"/>
    </row>
    <row r="95">
      <c r="A95" s="52" t="str">
        <f>IF(Calculation!E94=Calculation!$A$139,Calculation!B94,"")</f>
        <v/>
      </c>
      <c r="B95" s="53" t="str">
        <f>IF(Calculation!E94=Calculation!$A$139,Calculation!I94,"")</f>
        <v/>
      </c>
      <c r="C95" s="52" t="str">
        <f>IF(Calculation!E94=Calculation!$A$139,Calculation!D94,"")</f>
        <v/>
      </c>
      <c r="D95" s="52" t="str">
        <f>IF(Calculation!E94=Calculation!$A$139,Calculation!C94,"")</f>
        <v/>
      </c>
      <c r="E95" s="52" t="str">
        <f>IF(Calculation!E94=Calculation!$A$139,Calculation!F94,"")</f>
        <v/>
      </c>
      <c r="F95" s="54" t="str">
        <f>IF(Calculation!E94=Calculation!$A$139,Calculation!G94,"")</f>
        <v/>
      </c>
      <c r="G95" s="54" t="str">
        <f>IF(Calculation!E94=Calculation!$A$139,Calculation!H94,"")</f>
        <v/>
      </c>
      <c r="H95" s="55"/>
    </row>
    <row r="96">
      <c r="A96" s="52" t="str">
        <f>IF(Calculation!E95=Calculation!$A$139,Calculation!B95,"")</f>
        <v/>
      </c>
      <c r="B96" s="53" t="str">
        <f>IF(Calculation!E95=Calculation!$A$139,Calculation!I95,"")</f>
        <v/>
      </c>
      <c r="C96" s="52" t="str">
        <f>IF(Calculation!E95=Calculation!$A$139,Calculation!D95,"")</f>
        <v/>
      </c>
      <c r="D96" s="52" t="str">
        <f>IF(Calculation!E95=Calculation!$A$139,Calculation!C95,"")</f>
        <v/>
      </c>
      <c r="E96" s="52" t="str">
        <f>IF(Calculation!E95=Calculation!$A$139,Calculation!F95,"")</f>
        <v/>
      </c>
      <c r="F96" s="54" t="str">
        <f>IF(Calculation!E95=Calculation!$A$139,Calculation!G95,"")</f>
        <v/>
      </c>
      <c r="G96" s="54" t="str">
        <f>IF(Calculation!E95=Calculation!$A$139,Calculation!H95,"")</f>
        <v/>
      </c>
      <c r="H96" s="55"/>
    </row>
    <row r="97">
      <c r="A97" s="52" t="str">
        <f>IF(Calculation!E96=Calculation!$A$139,Calculation!B96,"")</f>
        <v/>
      </c>
      <c r="B97" s="53" t="str">
        <f>IF(Calculation!E96=Calculation!$A$139,Calculation!I96,"")</f>
        <v/>
      </c>
      <c r="C97" s="52" t="str">
        <f>IF(Calculation!E96=Calculation!$A$139,Calculation!D96,"")</f>
        <v/>
      </c>
      <c r="D97" s="52" t="str">
        <f>IF(Calculation!E96=Calculation!$A$139,Calculation!C96,"")</f>
        <v/>
      </c>
      <c r="E97" s="52" t="str">
        <f>IF(Calculation!E96=Calculation!$A$139,Calculation!F96,"")</f>
        <v/>
      </c>
      <c r="F97" s="54" t="str">
        <f>IF(Calculation!E96=Calculation!$A$139,Calculation!G96,"")</f>
        <v/>
      </c>
      <c r="G97" s="54" t="str">
        <f>IF(Calculation!E96=Calculation!$A$139,Calculation!H96,"")</f>
        <v/>
      </c>
      <c r="H97" s="55"/>
    </row>
    <row r="98">
      <c r="A98" s="52" t="str">
        <f>IF(Calculation!E97=Calculation!$A$139,Calculation!B97,"")</f>
        <v/>
      </c>
      <c r="B98" s="53" t="str">
        <f>IF(Calculation!E97=Calculation!$A$139,Calculation!I97,"")</f>
        <v/>
      </c>
      <c r="C98" s="52" t="str">
        <f>IF(Calculation!E97=Calculation!$A$139,Calculation!D97,"")</f>
        <v/>
      </c>
      <c r="D98" s="52" t="str">
        <f>IF(Calculation!E97=Calculation!$A$139,Calculation!C97,"")</f>
        <v/>
      </c>
      <c r="E98" s="52" t="str">
        <f>IF(Calculation!E97=Calculation!$A$139,Calculation!F97,"")</f>
        <v/>
      </c>
      <c r="F98" s="54" t="str">
        <f>IF(Calculation!E97=Calculation!$A$139,Calculation!G97,"")</f>
        <v/>
      </c>
      <c r="G98" s="54" t="str">
        <f>IF(Calculation!E97=Calculation!$A$139,Calculation!H97,"")</f>
        <v/>
      </c>
      <c r="H98" s="55"/>
    </row>
    <row r="99">
      <c r="A99" s="52" t="str">
        <f>IF(Calculation!E98=Calculation!$A$139,Calculation!B98,"")</f>
        <v/>
      </c>
      <c r="B99" s="53" t="str">
        <f>IF(Calculation!E98=Calculation!$A$139,Calculation!I98,"")</f>
        <v/>
      </c>
      <c r="C99" s="52" t="str">
        <f>IF(Calculation!E98=Calculation!$A$139,Calculation!D98,"")</f>
        <v/>
      </c>
      <c r="D99" s="52" t="str">
        <f>IF(Calculation!E98=Calculation!$A$139,Calculation!C98,"")</f>
        <v/>
      </c>
      <c r="E99" s="52" t="str">
        <f>IF(Calculation!E98=Calculation!$A$139,Calculation!F98,"")</f>
        <v/>
      </c>
      <c r="F99" s="54" t="str">
        <f>IF(Calculation!E98=Calculation!$A$139,Calculation!G98,"")</f>
        <v/>
      </c>
      <c r="G99" s="54" t="str">
        <f>IF(Calculation!E98=Calculation!$A$139,Calculation!H98,"")</f>
        <v/>
      </c>
      <c r="H99" s="55"/>
    </row>
    <row r="100">
      <c r="A100" s="52" t="str">
        <f>IF(Calculation!E99=Calculation!$A$139,Calculation!B99,"")</f>
        <v/>
      </c>
      <c r="B100" s="53" t="str">
        <f>IF(Calculation!E99=Calculation!$A$139,Calculation!I99,"")</f>
        <v/>
      </c>
      <c r="C100" s="52" t="str">
        <f>IF(Calculation!E99=Calculation!$A$139,Calculation!D99,"")</f>
        <v/>
      </c>
      <c r="D100" s="52" t="str">
        <f>IF(Calculation!E99=Calculation!$A$139,Calculation!C99,"")</f>
        <v/>
      </c>
      <c r="E100" s="52" t="str">
        <f>IF(Calculation!E99=Calculation!$A$139,Calculation!F99,"")</f>
        <v/>
      </c>
      <c r="F100" s="54" t="str">
        <f>IF(Calculation!E99=Calculation!$A$139,Calculation!G99,"")</f>
        <v/>
      </c>
      <c r="G100" s="54" t="str">
        <f>IF(Calculation!E99=Calculation!$A$139,Calculation!H99,"")</f>
        <v/>
      </c>
      <c r="H100" s="55"/>
    </row>
    <row r="101">
      <c r="A101" s="52" t="str">
        <f>IF(Calculation!E100=Calculation!$A$139,Calculation!B100,"")</f>
        <v/>
      </c>
      <c r="B101" s="53" t="str">
        <f>IF(Calculation!E100=Calculation!$A$139,Calculation!I100,"")</f>
        <v/>
      </c>
      <c r="C101" s="52" t="str">
        <f>IF(Calculation!E100=Calculation!$A$139,Calculation!D100,"")</f>
        <v/>
      </c>
      <c r="D101" s="52" t="str">
        <f>IF(Calculation!E100=Calculation!$A$139,Calculation!C100,"")</f>
        <v/>
      </c>
      <c r="E101" s="52" t="str">
        <f>IF(Calculation!E100=Calculation!$A$139,Calculation!F100,"")</f>
        <v/>
      </c>
      <c r="F101" s="54" t="str">
        <f>IF(Calculation!E100=Calculation!$A$139,Calculation!G100,"")</f>
        <v/>
      </c>
      <c r="G101" s="54" t="str">
        <f>IF(Calculation!E100=Calculation!$A$139,Calculation!H100,"")</f>
        <v/>
      </c>
      <c r="H101" s="55"/>
    </row>
    <row r="102">
      <c r="A102" s="52" t="str">
        <f>IF(Calculation!E101=Calculation!$A$139,Calculation!B101,"")</f>
        <v/>
      </c>
      <c r="B102" s="53" t="str">
        <f>IF(Calculation!E101=Calculation!$A$139,Calculation!I101,"")</f>
        <v/>
      </c>
      <c r="C102" s="52" t="str">
        <f>IF(Calculation!E101=Calculation!$A$139,Calculation!D101,"")</f>
        <v/>
      </c>
      <c r="D102" s="52" t="str">
        <f>IF(Calculation!E101=Calculation!$A$139,Calculation!C101,"")</f>
        <v/>
      </c>
      <c r="E102" s="52" t="str">
        <f>IF(Calculation!E101=Calculation!$A$139,Calculation!F101,"")</f>
        <v/>
      </c>
      <c r="F102" s="54" t="str">
        <f>IF(Calculation!E101=Calculation!$A$139,Calculation!G101,"")</f>
        <v/>
      </c>
      <c r="G102" s="54" t="str">
        <f>IF(Calculation!E101=Calculation!$A$139,Calculation!H101,"")</f>
        <v/>
      </c>
      <c r="H102" s="55"/>
    </row>
    <row r="103">
      <c r="A103" s="52" t="str">
        <f>IF(Calculation!E102=Calculation!$A$139,Calculation!B102,"")</f>
        <v/>
      </c>
      <c r="B103" s="53" t="str">
        <f>IF(Calculation!E102=Calculation!$A$139,Calculation!I102,"")</f>
        <v/>
      </c>
      <c r="C103" s="52" t="str">
        <f>IF(Calculation!E102=Calculation!$A$139,Calculation!D102,"")</f>
        <v/>
      </c>
      <c r="D103" s="52" t="str">
        <f>IF(Calculation!E102=Calculation!$A$139,Calculation!C102,"")</f>
        <v/>
      </c>
      <c r="E103" s="52" t="str">
        <f>IF(Calculation!E102=Calculation!$A$139,Calculation!F102,"")</f>
        <v/>
      </c>
      <c r="F103" s="54" t="str">
        <f>IF(Calculation!E102=Calculation!$A$139,Calculation!G102,"")</f>
        <v/>
      </c>
      <c r="G103" s="54" t="str">
        <f>IF(Calculation!E102=Calculation!$A$139,Calculation!H102,"")</f>
        <v/>
      </c>
      <c r="H103" s="55"/>
    </row>
    <row r="104">
      <c r="A104" s="52" t="str">
        <f>IF(Calculation!E103=Calculation!$A$139,Calculation!B103,"")</f>
        <v/>
      </c>
      <c r="B104" s="53" t="str">
        <f>IF(Calculation!E103=Calculation!$A$139,Calculation!I103,"")</f>
        <v/>
      </c>
      <c r="C104" s="52" t="str">
        <f>IF(Calculation!E103=Calculation!$A$139,Calculation!D103,"")</f>
        <v/>
      </c>
      <c r="D104" s="52" t="str">
        <f>IF(Calculation!E103=Calculation!$A$139,Calculation!C103,"")</f>
        <v/>
      </c>
      <c r="E104" s="52" t="str">
        <f>IF(Calculation!E103=Calculation!$A$139,Calculation!F103,"")</f>
        <v/>
      </c>
      <c r="F104" s="54" t="str">
        <f>IF(Calculation!E103=Calculation!$A$139,Calculation!G103,"")</f>
        <v/>
      </c>
      <c r="G104" s="54" t="str">
        <f>IF(Calculation!E103=Calculation!$A$139,Calculation!H103,"")</f>
        <v/>
      </c>
      <c r="H104" s="55"/>
    </row>
    <row r="105">
      <c r="A105" s="52" t="str">
        <f>IF(Calculation!E104=Calculation!$A$139,Calculation!B104,"")</f>
        <v/>
      </c>
      <c r="B105" s="53" t="str">
        <f>IF(Calculation!E104=Calculation!$A$139,Calculation!I104,"")</f>
        <v/>
      </c>
      <c r="C105" s="52" t="str">
        <f>IF(Calculation!E104=Calculation!$A$139,Calculation!D104,"")</f>
        <v/>
      </c>
      <c r="D105" s="52" t="str">
        <f>IF(Calculation!E104=Calculation!$A$139,Calculation!C104,"")</f>
        <v/>
      </c>
      <c r="E105" s="52" t="str">
        <f>IF(Calculation!E104=Calculation!$A$139,Calculation!F104,"")</f>
        <v/>
      </c>
      <c r="F105" s="54" t="str">
        <f>IF(Calculation!E104=Calculation!$A$139,Calculation!G104,"")</f>
        <v/>
      </c>
      <c r="G105" s="54" t="str">
        <f>IF(Calculation!E104=Calculation!$A$139,Calculation!H104,"")</f>
        <v/>
      </c>
      <c r="H105" s="55"/>
    </row>
    <row r="106">
      <c r="A106" s="52" t="str">
        <f>IF(Calculation!E105=Calculation!$A$139,Calculation!B105,"")</f>
        <v/>
      </c>
      <c r="B106" s="53" t="str">
        <f>IF(Calculation!E105=Calculation!$A$139,Calculation!I105,"")</f>
        <v/>
      </c>
      <c r="C106" s="52" t="str">
        <f>IF(Calculation!E105=Calculation!$A$139,Calculation!D105,"")</f>
        <v/>
      </c>
      <c r="D106" s="52" t="str">
        <f>IF(Calculation!E105=Calculation!$A$139,Calculation!C105,"")</f>
        <v/>
      </c>
      <c r="E106" s="52" t="str">
        <f>IF(Calculation!E105=Calculation!$A$139,Calculation!F105,"")</f>
        <v/>
      </c>
      <c r="F106" s="54" t="str">
        <f>IF(Calculation!E105=Calculation!$A$139,Calculation!G105,"")</f>
        <v/>
      </c>
      <c r="G106" s="54" t="str">
        <f>IF(Calculation!E105=Calculation!$A$139,Calculation!H105,"")</f>
        <v/>
      </c>
      <c r="H106" s="55"/>
    </row>
    <row r="107">
      <c r="A107" s="52" t="str">
        <f>IF(Calculation!E106=Calculation!$A$139,Calculation!B106,"")</f>
        <v/>
      </c>
      <c r="B107" s="53" t="str">
        <f>IF(Calculation!E106=Calculation!$A$139,Calculation!I106,"")</f>
        <v/>
      </c>
      <c r="C107" s="52" t="str">
        <f>IF(Calculation!E106=Calculation!$A$139,Calculation!D106,"")</f>
        <v/>
      </c>
      <c r="D107" s="52" t="str">
        <f>IF(Calculation!E106=Calculation!$A$139,Calculation!C106,"")</f>
        <v/>
      </c>
      <c r="E107" s="52" t="str">
        <f>IF(Calculation!E106=Calculation!$A$139,Calculation!F106,"")</f>
        <v/>
      </c>
      <c r="F107" s="54" t="str">
        <f>IF(Calculation!E106=Calculation!$A$139,Calculation!G106,"")</f>
        <v/>
      </c>
      <c r="G107" s="54" t="str">
        <f>IF(Calculation!E106=Calculation!$A$139,Calculation!H106,"")</f>
        <v/>
      </c>
      <c r="H107" s="55"/>
    </row>
    <row r="108">
      <c r="A108" s="52" t="str">
        <f>IF(Calculation!E107=Calculation!$A$139,Calculation!B107,"")</f>
        <v/>
      </c>
      <c r="B108" s="53" t="str">
        <f>IF(Calculation!E107=Calculation!$A$139,Calculation!I107,"")</f>
        <v/>
      </c>
      <c r="C108" s="52" t="str">
        <f>IF(Calculation!E107=Calculation!$A$139,Calculation!D107,"")</f>
        <v/>
      </c>
      <c r="D108" s="52" t="str">
        <f>IF(Calculation!E107=Calculation!$A$139,Calculation!C107,"")</f>
        <v/>
      </c>
      <c r="E108" s="52" t="str">
        <f>IF(Calculation!E107=Calculation!$A$139,Calculation!F107,"")</f>
        <v/>
      </c>
      <c r="F108" s="54" t="str">
        <f>IF(Calculation!E107=Calculation!$A$139,Calculation!G107,"")</f>
        <v/>
      </c>
      <c r="G108" s="54" t="str">
        <f>IF(Calculation!E107=Calculation!$A$139,Calculation!H107,"")</f>
        <v/>
      </c>
      <c r="H108" s="55"/>
    </row>
    <row r="109">
      <c r="A109" s="52" t="str">
        <f>IF(Calculation!E108=Calculation!$A$139,Calculation!B108,"")</f>
        <v/>
      </c>
      <c r="B109" s="53" t="str">
        <f>IF(Calculation!E108=Calculation!$A$139,Calculation!I108,"")</f>
        <v/>
      </c>
      <c r="C109" s="52" t="str">
        <f>IF(Calculation!E108=Calculation!$A$139,Calculation!D108,"")</f>
        <v/>
      </c>
      <c r="D109" s="52" t="str">
        <f>IF(Calculation!E108=Calculation!$A$139,Calculation!C108,"")</f>
        <v/>
      </c>
      <c r="E109" s="52" t="str">
        <f>IF(Calculation!E108=Calculation!$A$139,Calculation!F108,"")</f>
        <v/>
      </c>
      <c r="F109" s="54" t="str">
        <f>IF(Calculation!E108=Calculation!$A$139,Calculation!G108,"")</f>
        <v/>
      </c>
      <c r="G109" s="54" t="str">
        <f>IF(Calculation!E108=Calculation!$A$139,Calculation!H108,"")</f>
        <v/>
      </c>
      <c r="H109" s="55"/>
    </row>
    <row r="110">
      <c r="A110" s="52" t="str">
        <f>IF(Calculation!E109=Calculation!$A$139,Calculation!B109,"")</f>
        <v/>
      </c>
      <c r="B110" s="53" t="str">
        <f>IF(Calculation!E109=Calculation!$A$139,Calculation!I109,"")</f>
        <v/>
      </c>
      <c r="C110" s="52" t="str">
        <f>IF(Calculation!E109=Calculation!$A$139,Calculation!D109,"")</f>
        <v/>
      </c>
      <c r="D110" s="52" t="str">
        <f>IF(Calculation!E109=Calculation!$A$139,Calculation!C109,"")</f>
        <v/>
      </c>
      <c r="E110" s="52" t="str">
        <f>IF(Calculation!E109=Calculation!$A$139,Calculation!F109,"")</f>
        <v/>
      </c>
      <c r="F110" s="54" t="str">
        <f>IF(Calculation!E109=Calculation!$A$139,Calculation!G109,"")</f>
        <v/>
      </c>
      <c r="G110" s="54" t="str">
        <f>IF(Calculation!E109=Calculation!$A$139,Calculation!H109,"")</f>
        <v/>
      </c>
      <c r="H110" s="55"/>
    </row>
    <row r="111">
      <c r="A111" s="52" t="str">
        <f>IF(Calculation!E110=Calculation!$A$139,Calculation!B110,"")</f>
        <v/>
      </c>
      <c r="B111" s="53" t="str">
        <f>IF(Calculation!E110=Calculation!$A$139,Calculation!I110,"")</f>
        <v/>
      </c>
      <c r="C111" s="52" t="str">
        <f>IF(Calculation!E110=Calculation!$A$139,Calculation!D110,"")</f>
        <v/>
      </c>
      <c r="D111" s="52" t="str">
        <f>IF(Calculation!E110=Calculation!$A$139,Calculation!C110,"")</f>
        <v/>
      </c>
      <c r="E111" s="52" t="str">
        <f>IF(Calculation!E110=Calculation!$A$139,Calculation!F110,"")</f>
        <v/>
      </c>
      <c r="F111" s="54" t="str">
        <f>IF(Calculation!E110=Calculation!$A$139,Calculation!G110,"")</f>
        <v/>
      </c>
      <c r="G111" s="54" t="str">
        <f>IF(Calculation!E110=Calculation!$A$139,Calculation!H110,"")</f>
        <v/>
      </c>
      <c r="H111" s="55"/>
    </row>
    <row r="112">
      <c r="A112" s="52" t="str">
        <f>IF(Calculation!E111=Calculation!$A$139,Calculation!B111,"")</f>
        <v/>
      </c>
      <c r="B112" s="53" t="str">
        <f>IF(Calculation!E111=Calculation!$A$139,Calculation!I111,"")</f>
        <v/>
      </c>
      <c r="C112" s="52" t="str">
        <f>IF(Calculation!E111=Calculation!$A$139,Calculation!D111,"")</f>
        <v/>
      </c>
      <c r="D112" s="52" t="str">
        <f>IF(Calculation!E111=Calculation!$A$139,Calculation!C111,"")</f>
        <v/>
      </c>
      <c r="E112" s="52" t="str">
        <f>IF(Calculation!E111=Calculation!$A$139,Calculation!F111,"")</f>
        <v/>
      </c>
      <c r="F112" s="54" t="str">
        <f>IF(Calculation!E111=Calculation!$A$139,Calculation!G111,"")</f>
        <v/>
      </c>
      <c r="G112" s="54" t="str">
        <f>IF(Calculation!E111=Calculation!$A$139,Calculation!H111,"")</f>
        <v/>
      </c>
      <c r="H112" s="55"/>
    </row>
    <row r="113">
      <c r="A113" s="52" t="str">
        <f>IF(Calculation!E112=Calculation!$A$139,Calculation!B112,"")</f>
        <v/>
      </c>
      <c r="B113" s="53" t="str">
        <f>IF(Calculation!E112=Calculation!$A$139,Calculation!I112,"")</f>
        <v/>
      </c>
      <c r="C113" s="52" t="str">
        <f>IF(Calculation!E112=Calculation!$A$139,Calculation!D112,"")</f>
        <v/>
      </c>
      <c r="D113" s="52" t="str">
        <f>IF(Calculation!E112=Calculation!$A$139,Calculation!C112,"")</f>
        <v/>
      </c>
      <c r="E113" s="52" t="str">
        <f>IF(Calculation!E112=Calculation!$A$139,Calculation!F112,"")</f>
        <v/>
      </c>
      <c r="F113" s="54" t="str">
        <f>IF(Calculation!E112=Calculation!$A$139,Calculation!G112,"")</f>
        <v/>
      </c>
      <c r="G113" s="54" t="str">
        <f>IF(Calculation!E112=Calculation!$A$139,Calculation!H112,"")</f>
        <v/>
      </c>
      <c r="H113" s="55"/>
    </row>
    <row r="114">
      <c r="A114" s="52" t="str">
        <f>IF(Calculation!E113=Calculation!$A$139,Calculation!B113,"")</f>
        <v/>
      </c>
      <c r="B114" s="53" t="str">
        <f>IF(Calculation!E113=Calculation!$A$139,Calculation!I113,"")</f>
        <v/>
      </c>
      <c r="C114" s="52" t="str">
        <f>IF(Calculation!E113=Calculation!$A$139,Calculation!D113,"")</f>
        <v/>
      </c>
      <c r="D114" s="52" t="str">
        <f>IF(Calculation!E113=Calculation!$A$139,Calculation!C113,"")</f>
        <v/>
      </c>
      <c r="E114" s="52" t="str">
        <f>IF(Calculation!E113=Calculation!$A$139,Calculation!F113,"")</f>
        <v/>
      </c>
      <c r="F114" s="54" t="str">
        <f>IF(Calculation!E113=Calculation!$A$139,Calculation!G113,"")</f>
        <v/>
      </c>
      <c r="G114" s="54" t="str">
        <f>IF(Calculation!E113=Calculation!$A$139,Calculation!H113,"")</f>
        <v/>
      </c>
      <c r="H114" s="55"/>
    </row>
    <row r="115">
      <c r="A115" s="52" t="str">
        <f>IF(Calculation!E114=Calculation!$A$139,Calculation!B114,"")</f>
        <v/>
      </c>
      <c r="B115" s="53" t="str">
        <f>IF(Calculation!E114=Calculation!$A$139,Calculation!I114,"")</f>
        <v/>
      </c>
      <c r="C115" s="52" t="str">
        <f>IF(Calculation!E114=Calculation!$A$139,Calculation!D114,"")</f>
        <v/>
      </c>
      <c r="D115" s="52" t="str">
        <f>IF(Calculation!E114=Calculation!$A$139,Calculation!C114,"")</f>
        <v/>
      </c>
      <c r="E115" s="52" t="str">
        <f>IF(Calculation!E114=Calculation!$A$139,Calculation!F114,"")</f>
        <v/>
      </c>
      <c r="F115" s="54" t="str">
        <f>IF(Calculation!E114=Calculation!$A$139,Calculation!G114,"")</f>
        <v/>
      </c>
      <c r="G115" s="54" t="str">
        <f>IF(Calculation!E114=Calculation!$A$139,Calculation!H114,"")</f>
        <v/>
      </c>
      <c r="H115" s="55"/>
    </row>
    <row r="116">
      <c r="A116" s="52" t="str">
        <f>IF(Calculation!E115=Calculation!$A$139,Calculation!B115,"")</f>
        <v/>
      </c>
      <c r="B116" s="53" t="str">
        <f>IF(Calculation!E115=Calculation!$A$139,Calculation!I115,"")</f>
        <v/>
      </c>
      <c r="C116" s="52" t="str">
        <f>IF(Calculation!E115=Calculation!$A$139,Calculation!D115,"")</f>
        <v/>
      </c>
      <c r="D116" s="52" t="str">
        <f>IF(Calculation!E115=Calculation!$A$139,Calculation!C115,"")</f>
        <v/>
      </c>
      <c r="E116" s="52" t="str">
        <f>IF(Calculation!E115=Calculation!$A$139,Calculation!F115,"")</f>
        <v/>
      </c>
      <c r="F116" s="54" t="str">
        <f>IF(Calculation!E115=Calculation!$A$139,Calculation!G115,"")</f>
        <v/>
      </c>
      <c r="G116" s="54" t="str">
        <f>IF(Calculation!E115=Calculation!$A$139,Calculation!H115,"")</f>
        <v/>
      </c>
      <c r="H116" s="55"/>
    </row>
    <row r="117">
      <c r="A117" s="52" t="str">
        <f>IF(Calculation!E116=Calculation!$A$139,Calculation!B116,"")</f>
        <v/>
      </c>
      <c r="B117" s="53" t="str">
        <f>IF(Calculation!E116=Calculation!$A$139,Calculation!I116,"")</f>
        <v/>
      </c>
      <c r="C117" s="52" t="str">
        <f>IF(Calculation!E116=Calculation!$A$139,Calculation!D116,"")</f>
        <v/>
      </c>
      <c r="D117" s="52" t="str">
        <f>IF(Calculation!E116=Calculation!$A$139,Calculation!C116,"")</f>
        <v/>
      </c>
      <c r="E117" s="52" t="str">
        <f>IF(Calculation!E116=Calculation!$A$139,Calculation!F116,"")</f>
        <v/>
      </c>
      <c r="F117" s="54" t="str">
        <f>IF(Calculation!E116=Calculation!$A$139,Calculation!G116,"")</f>
        <v/>
      </c>
      <c r="G117" s="54" t="str">
        <f>IF(Calculation!E116=Calculation!$A$139,Calculation!H116,"")</f>
        <v/>
      </c>
      <c r="H117" s="55"/>
    </row>
    <row r="118">
      <c r="A118" s="52" t="str">
        <f>IF(Calculation!E117=Calculation!$A$139,Calculation!B117,"")</f>
        <v/>
      </c>
      <c r="B118" s="53" t="str">
        <f>IF(Calculation!E117=Calculation!$A$139,Calculation!I117,"")</f>
        <v/>
      </c>
      <c r="C118" s="52" t="str">
        <f>IF(Calculation!E117=Calculation!$A$139,Calculation!D117,"")</f>
        <v/>
      </c>
      <c r="D118" s="52" t="str">
        <f>IF(Calculation!E117=Calculation!$A$139,Calculation!C117,"")</f>
        <v/>
      </c>
      <c r="E118" s="52" t="str">
        <f>IF(Calculation!E117=Calculation!$A$139,Calculation!F117,"")</f>
        <v/>
      </c>
      <c r="F118" s="54" t="str">
        <f>IF(Calculation!E117=Calculation!$A$139,Calculation!G117,"")</f>
        <v/>
      </c>
      <c r="G118" s="54" t="str">
        <f>IF(Calculation!E117=Calculation!$A$139,Calculation!H117,"")</f>
        <v/>
      </c>
      <c r="H118" s="55"/>
    </row>
    <row r="119">
      <c r="A119" s="52" t="str">
        <f>IF(Calculation!E118=Calculation!$A$139,Calculation!B118,"")</f>
        <v/>
      </c>
      <c r="B119" s="53" t="str">
        <f>IF(Calculation!E118=Calculation!$A$139,Calculation!I118,"")</f>
        <v/>
      </c>
      <c r="C119" s="52" t="str">
        <f>IF(Calculation!E118=Calculation!$A$139,Calculation!D118,"")</f>
        <v/>
      </c>
      <c r="D119" s="52" t="str">
        <f>IF(Calculation!E118=Calculation!$A$139,Calculation!C118,"")</f>
        <v/>
      </c>
      <c r="E119" s="52" t="str">
        <f>IF(Calculation!E118=Calculation!$A$139,Calculation!F118,"")</f>
        <v/>
      </c>
      <c r="F119" s="54" t="str">
        <f>IF(Calculation!E118=Calculation!$A$139,Calculation!G118,"")</f>
        <v/>
      </c>
      <c r="G119" s="54" t="str">
        <f>IF(Calculation!E118=Calculation!$A$139,Calculation!H118,"")</f>
        <v/>
      </c>
      <c r="H119" s="55"/>
    </row>
    <row r="120">
      <c r="A120" s="52" t="str">
        <f>IF(Calculation!E119=Calculation!$A$139,Calculation!B119,"")</f>
        <v/>
      </c>
      <c r="B120" s="53" t="str">
        <f>IF(Calculation!E119=Calculation!$A$139,Calculation!I119,"")</f>
        <v/>
      </c>
      <c r="C120" s="52" t="str">
        <f>IF(Calculation!E119=Calculation!$A$139,Calculation!D119,"")</f>
        <v/>
      </c>
      <c r="D120" s="52" t="str">
        <f>IF(Calculation!E119=Calculation!$A$139,Calculation!C119,"")</f>
        <v/>
      </c>
      <c r="E120" s="52" t="str">
        <f>IF(Calculation!E119=Calculation!$A$139,Calculation!F119,"")</f>
        <v/>
      </c>
      <c r="F120" s="54" t="str">
        <f>IF(Calculation!E119=Calculation!$A$139,Calculation!G119,"")</f>
        <v/>
      </c>
      <c r="G120" s="54" t="str">
        <f>IF(Calculation!E119=Calculation!$A$139,Calculation!H119,"")</f>
        <v/>
      </c>
      <c r="H120" s="55"/>
    </row>
    <row r="121">
      <c r="A121" s="52" t="str">
        <f>IF(Calculation!E120=Calculation!$A$139,Calculation!B120,"")</f>
        <v/>
      </c>
      <c r="B121" s="53" t="str">
        <f>IF(Calculation!E120=Calculation!$A$139,Calculation!I120,"")</f>
        <v/>
      </c>
      <c r="C121" s="52" t="str">
        <f>IF(Calculation!E120=Calculation!$A$139,Calculation!D120,"")</f>
        <v/>
      </c>
      <c r="D121" s="52" t="str">
        <f>IF(Calculation!E120=Calculation!$A$139,Calculation!C120,"")</f>
        <v/>
      </c>
      <c r="E121" s="52" t="str">
        <f>IF(Calculation!E120=Calculation!$A$139,Calculation!F120,"")</f>
        <v/>
      </c>
      <c r="F121" s="54" t="str">
        <f>IF(Calculation!E120=Calculation!$A$139,Calculation!G120,"")</f>
        <v/>
      </c>
      <c r="G121" s="54" t="str">
        <f>IF(Calculation!E120=Calculation!$A$139,Calculation!H120,"")</f>
        <v/>
      </c>
      <c r="H121" s="55"/>
    </row>
    <row r="122">
      <c r="A122" s="52" t="str">
        <f>IF(Calculation!E121=Calculation!$A$139,Calculation!B121,"")</f>
        <v/>
      </c>
      <c r="B122" s="53" t="str">
        <f>IF(Calculation!E121=Calculation!$A$139,Calculation!I121,"")</f>
        <v/>
      </c>
      <c r="C122" s="52" t="str">
        <f>IF(Calculation!E121=Calculation!$A$139,Calculation!D121,"")</f>
        <v/>
      </c>
      <c r="D122" s="52" t="str">
        <f>IF(Calculation!E121=Calculation!$A$139,Calculation!C121,"")</f>
        <v/>
      </c>
      <c r="E122" s="52" t="str">
        <f>IF(Calculation!E121=Calculation!$A$139,Calculation!F121,"")</f>
        <v/>
      </c>
      <c r="F122" s="54" t="str">
        <f>IF(Calculation!E121=Calculation!$A$139,Calculation!G121,"")</f>
        <v/>
      </c>
      <c r="G122" s="54" t="str">
        <f>IF(Calculation!E121=Calculation!$A$139,Calculation!H121,"")</f>
        <v/>
      </c>
      <c r="H122" s="55"/>
    </row>
    <row r="123">
      <c r="A123" s="52" t="str">
        <f>IF(Calculation!E122=Calculation!$A$139,Calculation!B122,"")</f>
        <v/>
      </c>
      <c r="B123" s="53" t="str">
        <f>IF(Calculation!E122=Calculation!$A$139,Calculation!I122,"")</f>
        <v/>
      </c>
      <c r="C123" s="52" t="str">
        <f>IF(Calculation!E122=Calculation!$A$139,Calculation!D122,"")</f>
        <v/>
      </c>
      <c r="D123" s="52" t="str">
        <f>IF(Calculation!E122=Calculation!$A$139,Calculation!C122,"")</f>
        <v/>
      </c>
      <c r="E123" s="52" t="str">
        <f>IF(Calculation!E122=Calculation!$A$139,Calculation!F122,"")</f>
        <v/>
      </c>
      <c r="F123" s="54" t="str">
        <f>IF(Calculation!E122=Calculation!$A$139,Calculation!G122,"")</f>
        <v/>
      </c>
      <c r="G123" s="54" t="str">
        <f>IF(Calculation!E122=Calculation!$A$139,Calculation!H122,"")</f>
        <v/>
      </c>
      <c r="H123" s="55"/>
    </row>
    <row r="124">
      <c r="A124" s="52" t="str">
        <f>IF(Calculation!E123=Calculation!$A$139,Calculation!B123,"")</f>
        <v/>
      </c>
      <c r="B124" s="53" t="str">
        <f>IF(Calculation!E123=Calculation!$A$139,Calculation!I123,"")</f>
        <v/>
      </c>
      <c r="C124" s="52" t="str">
        <f>IF(Calculation!E123=Calculation!$A$139,Calculation!D123,"")</f>
        <v/>
      </c>
      <c r="D124" s="52" t="str">
        <f>IF(Calculation!E123=Calculation!$A$139,Calculation!C123,"")</f>
        <v/>
      </c>
      <c r="E124" s="52" t="str">
        <f>IF(Calculation!E123=Calculation!$A$139,Calculation!F123,"")</f>
        <v/>
      </c>
      <c r="F124" s="54" t="str">
        <f>IF(Calculation!E123=Calculation!$A$139,Calculation!G123,"")</f>
        <v/>
      </c>
      <c r="G124" s="54" t="str">
        <f>IF(Calculation!E123=Calculation!$A$139,Calculation!H123,"")</f>
        <v/>
      </c>
      <c r="H124" s="55"/>
    </row>
    <row r="125">
      <c r="A125" s="52" t="str">
        <f>IF(Calculation!E124=Calculation!$A$139,Calculation!B124,"")</f>
        <v/>
      </c>
      <c r="B125" s="53" t="str">
        <f>IF(Calculation!E124=Calculation!$A$139,Calculation!I124,"")</f>
        <v/>
      </c>
      <c r="C125" s="52" t="str">
        <f>IF(Calculation!E124=Calculation!$A$139,Calculation!D124,"")</f>
        <v/>
      </c>
      <c r="D125" s="52" t="str">
        <f>IF(Calculation!E124=Calculation!$A$139,Calculation!C124,"")</f>
        <v/>
      </c>
      <c r="E125" s="52" t="str">
        <f>IF(Calculation!E124=Calculation!$A$139,Calculation!F124,"")</f>
        <v/>
      </c>
      <c r="F125" s="54" t="str">
        <f>IF(Calculation!E124=Calculation!$A$139,Calculation!G124,"")</f>
        <v/>
      </c>
      <c r="G125" s="54" t="str">
        <f>IF(Calculation!E124=Calculation!$A$139,Calculation!H124,"")</f>
        <v/>
      </c>
      <c r="H125" s="55"/>
    </row>
    <row r="126">
      <c r="A126" s="52" t="str">
        <f>IF(Calculation!E125=Calculation!$A$139,Calculation!B125,"")</f>
        <v/>
      </c>
      <c r="B126" s="53" t="str">
        <f>IF(Calculation!E125=Calculation!$A$139,Calculation!I125,"")</f>
        <v/>
      </c>
      <c r="C126" s="52" t="str">
        <f>IF(Calculation!E125=Calculation!$A$139,Calculation!D125,"")</f>
        <v/>
      </c>
      <c r="D126" s="52" t="str">
        <f>IF(Calculation!E125=Calculation!$A$139,Calculation!C125,"")</f>
        <v/>
      </c>
      <c r="E126" s="52" t="str">
        <f>IF(Calculation!E125=Calculation!$A$139,Calculation!F125,"")</f>
        <v/>
      </c>
      <c r="F126" s="54" t="str">
        <f>IF(Calculation!E125=Calculation!$A$139,Calculation!G125,"")</f>
        <v/>
      </c>
      <c r="G126" s="54" t="str">
        <f>IF(Calculation!E125=Calculation!$A$139,Calculation!H125,"")</f>
        <v/>
      </c>
      <c r="H126" s="55"/>
    </row>
  </sheetData>
  <mergeCells count="37">
    <mergeCell ref="A1:H1"/>
    <mergeCell ref="L3:O3"/>
    <mergeCell ref="L4:O4"/>
    <mergeCell ref="L5:O5"/>
    <mergeCell ref="L6:N6"/>
    <mergeCell ref="L8:P8"/>
    <mergeCell ref="O9:P9"/>
    <mergeCell ref="L9:N9"/>
    <mergeCell ref="L10:N10"/>
    <mergeCell ref="O10:P10"/>
    <mergeCell ref="Q10:R10"/>
    <mergeCell ref="L11:N11"/>
    <mergeCell ref="O11:P11"/>
    <mergeCell ref="Q11:R11"/>
    <mergeCell ref="O14:P14"/>
    <mergeCell ref="Q14:R14"/>
    <mergeCell ref="L12:N12"/>
    <mergeCell ref="O12:P12"/>
    <mergeCell ref="Q12:R12"/>
    <mergeCell ref="L13:N13"/>
    <mergeCell ref="O13:P13"/>
    <mergeCell ref="Q13:R13"/>
    <mergeCell ref="L14:N14"/>
    <mergeCell ref="L20:O20"/>
    <mergeCell ref="L21:O21"/>
    <mergeCell ref="L22:O22"/>
    <mergeCell ref="L23:O23"/>
    <mergeCell ref="N25:P25"/>
    <mergeCell ref="N26:P26"/>
    <mergeCell ref="Q27:R27"/>
    <mergeCell ref="L15:N15"/>
    <mergeCell ref="O15:P15"/>
    <mergeCell ref="Q15:R15"/>
    <mergeCell ref="L16:N16"/>
    <mergeCell ref="O16:P16"/>
    <mergeCell ref="Q16:R16"/>
    <mergeCell ref="L18:O18"/>
  </mergeCells>
  <dataValidations>
    <dataValidation type="custom" allowBlank="1" showDropDown="1" sqref="O9 Q15">
      <formula1>OR(NOT(ISERROR(DATEVALUE(O9))), AND(ISNUMBER(O9), LEFT(CELL("format", O9))="D"))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9.13"/>
    <col customWidth="1" min="3" max="3" width="18.63"/>
    <col customWidth="1" min="4" max="4" width="17.63"/>
    <col customWidth="1" min="5" max="5" width="18.75"/>
    <col customWidth="1" min="6" max="6" width="19.25"/>
    <col customWidth="1" min="7" max="8" width="17.38"/>
    <col customWidth="1" min="9" max="9" width="15.13"/>
  </cols>
  <sheetData>
    <row r="1" ht="42.0" customHeight="1">
      <c r="A1" s="49" t="s">
        <v>88</v>
      </c>
      <c r="I1" s="50"/>
      <c r="L1" s="59"/>
      <c r="M1" s="59"/>
      <c r="N1" s="59"/>
      <c r="O1" s="60"/>
      <c r="P1" s="59"/>
      <c r="Q1" s="59"/>
      <c r="R1" s="59"/>
      <c r="S1" s="59"/>
      <c r="T1" s="61"/>
    </row>
    <row r="2" ht="29.25" customHeight="1">
      <c r="A2" s="51" t="s">
        <v>45</v>
      </c>
      <c r="B2" s="51" t="s">
        <v>46</v>
      </c>
      <c r="C2" s="51" t="s">
        <v>47</v>
      </c>
      <c r="D2" s="51" t="s">
        <v>48</v>
      </c>
      <c r="E2" s="51" t="s">
        <v>49</v>
      </c>
      <c r="F2" s="51" t="s">
        <v>50</v>
      </c>
      <c r="G2" s="51" t="s">
        <v>51</v>
      </c>
      <c r="H2" s="51" t="s">
        <v>52</v>
      </c>
      <c r="L2" s="62"/>
      <c r="M2" s="62"/>
      <c r="N2" s="62"/>
      <c r="O2" s="63"/>
      <c r="P2" s="62"/>
      <c r="Q2" s="62"/>
      <c r="R2" s="62"/>
      <c r="S2" s="62"/>
      <c r="T2" s="64"/>
    </row>
    <row r="3" ht="18.75" customHeight="1">
      <c r="A3" s="52" t="str">
        <f>IF(Calculation!E3=Calculation!$A$140,Calculation!B3,"")</f>
        <v/>
      </c>
      <c r="B3" s="53" t="str">
        <f>IF(Calculation!E3=Calculation!$A$140,Calculation!I3,"")</f>
        <v/>
      </c>
      <c r="C3" s="52" t="str">
        <f>IF(Calculation!E3=Calculation!$A$140,Calculation!D3,"")</f>
        <v/>
      </c>
      <c r="D3" s="52" t="str">
        <f>IF(Calculation!E3=Calculation!$A$140,Calculation!C3,"")</f>
        <v/>
      </c>
      <c r="E3" s="52" t="str">
        <f>IF(Calculation!E3=Calculation!$A$140,Calculation!F3,"")</f>
        <v/>
      </c>
      <c r="F3" s="54" t="str">
        <f>IF(Calculation!E3=Calculation!$A$140,Calculation!G3,"")</f>
        <v/>
      </c>
      <c r="G3" s="54" t="str">
        <f>IF(Calculation!E3=Calculation!$A$140,Calculation!H3,"")</f>
        <v/>
      </c>
      <c r="H3" s="110">
        <f>SUMPRODUCT(((Calculation!E3:E125=Calculation!$A$140)+(Calculation!D3:D125=Calculation!$A$140)&gt;0)*(Calculation!K3:K125))</f>
        <v>937.5</v>
      </c>
      <c r="L3" s="65" t="s">
        <v>53</v>
      </c>
      <c r="P3" s="62"/>
      <c r="Q3" s="62"/>
      <c r="R3" s="62"/>
      <c r="S3" s="62"/>
      <c r="T3" s="64"/>
    </row>
    <row r="4" ht="20.25" customHeight="1">
      <c r="A4" s="52" t="str">
        <f>IF(Calculation!E4=Calculation!$A$140,Calculation!B4,"")</f>
        <v/>
      </c>
      <c r="B4" s="53" t="str">
        <f>IF(Calculation!E4=Calculation!$A$140,Calculation!I4,"")</f>
        <v/>
      </c>
      <c r="C4" s="52" t="str">
        <f>IF(Calculation!E4=Calculation!$A$140,Calculation!D4,"")</f>
        <v/>
      </c>
      <c r="D4" s="52" t="str">
        <f>IF(Calculation!E4=Calculation!$A$140,Calculation!C4,"")</f>
        <v/>
      </c>
      <c r="E4" s="52" t="str">
        <f>IF(Calculation!E4=Calculation!$A$140,Calculation!F4,"")</f>
        <v/>
      </c>
      <c r="F4" s="54" t="str">
        <f>IF(Calculation!E4=Calculation!$A$140,Calculation!G4,"")</f>
        <v/>
      </c>
      <c r="G4" s="54" t="str">
        <f>IF(Calculation!E4=Calculation!$A$140,Calculation!H4,"")</f>
        <v/>
      </c>
      <c r="H4" s="55"/>
      <c r="L4" s="106" t="s">
        <v>75</v>
      </c>
      <c r="P4" s="62"/>
      <c r="Q4" s="62"/>
      <c r="R4" s="62"/>
      <c r="S4" s="62"/>
      <c r="T4" s="64"/>
    </row>
    <row r="5">
      <c r="A5" s="52" t="str">
        <f>IF(Calculation!E5=Calculation!$A$140,Calculation!B5,"")</f>
        <v/>
      </c>
      <c r="B5" s="53" t="str">
        <f>IF(Calculation!E5=Calculation!$A$140,Calculation!I5,"")</f>
        <v/>
      </c>
      <c r="C5" s="52" t="str">
        <f>IF(Calculation!E5=Calculation!$A$140,Calculation!D5,"")</f>
        <v/>
      </c>
      <c r="D5" s="52" t="str">
        <f>IF(Calculation!E5=Calculation!$A$140,Calculation!C5,"")</f>
        <v/>
      </c>
      <c r="E5" s="52" t="str">
        <f>IF(Calculation!E5=Calculation!$A$140,Calculation!F5,"")</f>
        <v/>
      </c>
      <c r="F5" s="54" t="str">
        <f>IF(Calculation!E5=Calculation!$A$140,Calculation!G5,"")</f>
        <v/>
      </c>
      <c r="G5" s="54" t="str">
        <f>IF(Calculation!E5=Calculation!$A$140,Calculation!H5,"")</f>
        <v/>
      </c>
      <c r="H5" s="55"/>
      <c r="L5" s="107" t="s">
        <v>76</v>
      </c>
      <c r="P5" s="62"/>
      <c r="Q5" s="62"/>
      <c r="R5" s="62"/>
      <c r="S5" s="62"/>
      <c r="T5" s="64"/>
    </row>
    <row r="6">
      <c r="A6" s="52" t="str">
        <f>IF(Calculation!E6=Calculation!$A$140,Calculation!B6,"")</f>
        <v/>
      </c>
      <c r="B6" s="53" t="str">
        <f>IF(Calculation!E6=Calculation!$A$140,Calculation!I6,"")</f>
        <v/>
      </c>
      <c r="C6" s="52" t="str">
        <f>IF(Calculation!E6=Calculation!$A$140,Calculation!D6,"")</f>
        <v/>
      </c>
      <c r="D6" s="52" t="str">
        <f>IF(Calculation!E6=Calculation!$A$140,Calculation!C6,"")</f>
        <v/>
      </c>
      <c r="E6" s="52" t="str">
        <f>IF(Calculation!E6=Calculation!$A$140,Calculation!F6,"")</f>
        <v/>
      </c>
      <c r="F6" s="54" t="str">
        <f>IF(Calculation!E6=Calculation!$A$140,Calculation!G6,"")</f>
        <v/>
      </c>
      <c r="G6" s="54" t="str">
        <f>IF(Calculation!E6=Calculation!$A$140,Calculation!H6,"")</f>
        <v/>
      </c>
      <c r="H6" s="55"/>
      <c r="L6" s="78" t="s">
        <v>77</v>
      </c>
      <c r="O6" s="72"/>
      <c r="P6" s="69"/>
      <c r="Q6" s="69"/>
      <c r="R6" s="69"/>
      <c r="S6" s="69"/>
      <c r="T6" s="70"/>
    </row>
    <row r="7">
      <c r="A7" s="52" t="str">
        <f>IF(Calculation!E7=Calculation!$A$140,Calculation!B7,"")</f>
        <v/>
      </c>
      <c r="B7" s="53" t="str">
        <f>IF(Calculation!E7=Calculation!$A$140,Calculation!I7,"")</f>
        <v/>
      </c>
      <c r="C7" s="52" t="str">
        <f>IF(Calculation!E7=Calculation!$A$140,Calculation!D7,"")</f>
        <v/>
      </c>
      <c r="D7" s="52" t="str">
        <f>IF(Calculation!E7=Calculation!$A$140,Calculation!C7,"")</f>
        <v/>
      </c>
      <c r="E7" s="52" t="str">
        <f>IF(Calculation!E7=Calculation!$A$140,Calculation!F7,"")</f>
        <v/>
      </c>
      <c r="F7" s="54" t="str">
        <f>IF(Calculation!E7=Calculation!$A$140,Calculation!G7,"")</f>
        <v/>
      </c>
      <c r="G7" s="54" t="str">
        <f>IF(Calculation!E7=Calculation!$A$140,Calculation!H7,"")</f>
        <v/>
      </c>
      <c r="H7" s="55"/>
      <c r="L7" s="62"/>
      <c r="M7" s="62"/>
      <c r="N7" s="62"/>
      <c r="O7" s="62"/>
      <c r="P7" s="62"/>
      <c r="Q7" s="62"/>
      <c r="R7" s="62"/>
      <c r="S7" s="62"/>
      <c r="T7" s="64"/>
    </row>
    <row r="8">
      <c r="A8" s="52" t="str">
        <f>IF(Calculation!E8=Calculation!$A$140,Calculation!B8,"")</f>
        <v/>
      </c>
      <c r="B8" s="53" t="str">
        <f>IF(Calculation!E8=Calculation!$A$140,Calculation!I8,"")</f>
        <v/>
      </c>
      <c r="C8" s="52" t="str">
        <f>IF(Calculation!E8=Calculation!$A$140,Calculation!D8,"")</f>
        <v/>
      </c>
      <c r="D8" s="52" t="str">
        <f>IF(Calculation!E8=Calculation!$A$140,Calculation!C8,"")</f>
        <v/>
      </c>
      <c r="E8" s="52" t="str">
        <f>IF(Calculation!E8=Calculation!$A$140,Calculation!F8,"")</f>
        <v/>
      </c>
      <c r="F8" s="54" t="str">
        <f>IF(Calculation!E8=Calculation!$A$140,Calculation!G8,"")</f>
        <v/>
      </c>
      <c r="G8" s="54" t="str">
        <f>IF(Calculation!E8=Calculation!$A$140,Calculation!H8,"")</f>
        <v/>
      </c>
      <c r="H8" s="55"/>
      <c r="L8" s="108" t="s">
        <v>78</v>
      </c>
      <c r="Q8" s="62"/>
      <c r="R8" s="62"/>
      <c r="S8" s="69"/>
      <c r="T8" s="70"/>
    </row>
    <row r="9">
      <c r="A9" s="52" t="str">
        <f>IF(Calculation!E9=Calculation!$A$140,Calculation!B9,"")</f>
        <v/>
      </c>
      <c r="B9" s="53" t="str">
        <f>IF(Calculation!E9=Calculation!$A$140,Calculation!I9,"")</f>
        <v/>
      </c>
      <c r="C9" s="52" t="str">
        <f>IF(Calculation!E9=Calculation!$A$140,Calculation!D9,"")</f>
        <v/>
      </c>
      <c r="D9" s="52" t="str">
        <f>IF(Calculation!E9=Calculation!$A$140,Calculation!C9,"")</f>
        <v/>
      </c>
      <c r="E9" s="52" t="str">
        <f>IF(Calculation!E9=Calculation!$A$140,Calculation!F9,"")</f>
        <v/>
      </c>
      <c r="F9" s="54" t="str">
        <f>IF(Calculation!E9=Calculation!$A$140,Calculation!G9,"")</f>
        <v/>
      </c>
      <c r="G9" s="54" t="str">
        <f>IF(Calculation!E9=Calculation!$A$140,Calculation!H9,"")</f>
        <v/>
      </c>
      <c r="H9" s="55"/>
      <c r="L9" s="74" t="s">
        <v>58</v>
      </c>
      <c r="O9" s="75">
        <v>45462.0</v>
      </c>
      <c r="Q9" s="62"/>
      <c r="R9" s="62"/>
      <c r="S9" s="69"/>
      <c r="T9" s="70"/>
    </row>
    <row r="10">
      <c r="A10" s="57">
        <f>IF(Calculation!E10=Calculation!$A$140,Calculation!B10,"")</f>
        <v>45464</v>
      </c>
      <c r="B10" s="53" t="str">
        <f>IF(Calculation!E10=Calculation!$A$140,Calculation!I10,"")</f>
        <v/>
      </c>
      <c r="C10" s="52" t="str">
        <f>IF(Calculation!E10=Calculation!$A$140,Calculation!D10,"")</f>
        <v>Siddharth Mohan</v>
      </c>
      <c r="D10" s="52" t="str">
        <f>IF(Calculation!E10=Calculation!$A$140,Calculation!C10,"")</f>
        <v>Short video design</v>
      </c>
      <c r="E10" s="52">
        <f>IF(Calculation!E10=Calculation!$A$140,Calculation!F10,"")</f>
        <v>2</v>
      </c>
      <c r="F10" s="54">
        <f>IF(Calculation!E10=Calculation!$A$140,Calculation!G10,"")</f>
        <v>312.5</v>
      </c>
      <c r="G10" s="54">
        <f>IF(Calculation!E10=Calculation!$A$140,Calculation!H10,"")</f>
        <v>625</v>
      </c>
      <c r="H10" s="55"/>
      <c r="L10" s="76"/>
      <c r="O10" s="62"/>
      <c r="Q10" s="62"/>
      <c r="S10" s="69"/>
      <c r="T10" s="70"/>
    </row>
    <row r="11">
      <c r="A11" s="52" t="str">
        <f>IF(Calculation!E11=Calculation!$A$140,Calculation!B11,"")</f>
        <v/>
      </c>
      <c r="B11" s="53" t="str">
        <f>IF(Calculation!E11=Calculation!$A$140,Calculation!I11,"")</f>
        <v/>
      </c>
      <c r="C11" s="52" t="str">
        <f>IF(Calculation!E11=Calculation!$A$140,Calculation!D11,"")</f>
        <v/>
      </c>
      <c r="D11" s="52" t="str">
        <f>IF(Calculation!E11=Calculation!$A$140,Calculation!C11,"")</f>
        <v/>
      </c>
      <c r="E11" s="52" t="str">
        <f>IF(Calculation!E11=Calculation!$A$140,Calculation!F11,"")</f>
        <v/>
      </c>
      <c r="F11" s="54" t="str">
        <f>IF(Calculation!E11=Calculation!$A$140,Calculation!G11,"")</f>
        <v/>
      </c>
      <c r="G11" s="54" t="str">
        <f>IF(Calculation!E11=Calculation!$A$140,Calculation!H11,"")</f>
        <v/>
      </c>
      <c r="H11" s="55"/>
      <c r="L11" s="77" t="s">
        <v>59</v>
      </c>
      <c r="O11" s="77" t="s">
        <v>60</v>
      </c>
      <c r="Q11" s="77" t="s">
        <v>61</v>
      </c>
      <c r="S11" s="69"/>
      <c r="T11" s="70"/>
    </row>
    <row r="12">
      <c r="A12" s="52" t="str">
        <f>IF(Calculation!E12=Calculation!$A$140,Calculation!B12,"")</f>
        <v/>
      </c>
      <c r="B12" s="53" t="str">
        <f>IF(Calculation!E12=Calculation!$A$140,Calculation!I12,"")</f>
        <v/>
      </c>
      <c r="C12" s="52" t="str">
        <f>IF(Calculation!E12=Calculation!$A$140,Calculation!D12,"")</f>
        <v/>
      </c>
      <c r="D12" s="52" t="str">
        <f>IF(Calculation!E12=Calculation!$A$140,Calculation!C12,"")</f>
        <v/>
      </c>
      <c r="E12" s="52" t="str">
        <f>IF(Calculation!E12=Calculation!$A$140,Calculation!F12,"")</f>
        <v/>
      </c>
      <c r="F12" s="54" t="str">
        <f>IF(Calculation!E12=Calculation!$A$140,Calculation!G12,"")</f>
        <v/>
      </c>
      <c r="G12" s="54" t="str">
        <f>IF(Calculation!E12=Calculation!$A$140,Calculation!H12,"")</f>
        <v/>
      </c>
      <c r="H12" s="55"/>
      <c r="L12" s="78" t="str">
        <f>Calculation!A152</f>
        <v/>
      </c>
      <c r="O12" s="78" t="str">
        <f>Calculation!A152</f>
        <v/>
      </c>
      <c r="Q12" s="79">
        <v>123456.0</v>
      </c>
      <c r="S12" s="69"/>
      <c r="T12" s="70"/>
    </row>
    <row r="13">
      <c r="A13" s="52" t="str">
        <f>IF(Calculation!E13=Calculation!$A$140,Calculation!B13,"")</f>
        <v/>
      </c>
      <c r="B13" s="53" t="str">
        <f>IF(Calculation!E13=Calculation!$A$140,Calculation!I13,"")</f>
        <v/>
      </c>
      <c r="C13" s="52" t="str">
        <f>IF(Calculation!E13=Calculation!$A$140,Calculation!D13,"")</f>
        <v/>
      </c>
      <c r="D13" s="52" t="str">
        <f>IF(Calculation!E13=Calculation!$A$140,Calculation!C13,"")</f>
        <v/>
      </c>
      <c r="E13" s="52" t="str">
        <f>IF(Calculation!E13=Calculation!$A$140,Calculation!F13,"")</f>
        <v/>
      </c>
      <c r="F13" s="54" t="str">
        <f>IF(Calculation!E13=Calculation!$A$140,Calculation!G13,"")</f>
        <v/>
      </c>
      <c r="G13" s="54" t="str">
        <f>IF(Calculation!E13=Calculation!$A$140,Calculation!H13,"")</f>
        <v/>
      </c>
      <c r="H13" s="55"/>
      <c r="L13" s="78" t="s">
        <v>62</v>
      </c>
      <c r="O13" s="72"/>
      <c r="Q13" s="62"/>
      <c r="S13" s="69"/>
      <c r="T13" s="70"/>
    </row>
    <row r="14">
      <c r="A14" s="52" t="str">
        <f>IF(Calculation!E14=Calculation!$A$140,Calculation!B14,"")</f>
        <v/>
      </c>
      <c r="B14" s="53" t="str">
        <f>IF(Calculation!E14=Calculation!$A$140,Calculation!I14,"")</f>
        <v/>
      </c>
      <c r="C14" s="52" t="str">
        <f>IF(Calculation!E14=Calculation!$A$140,Calculation!D14,"")</f>
        <v/>
      </c>
      <c r="D14" s="52" t="str">
        <f>IF(Calculation!E14=Calculation!$A$140,Calculation!C14,"")</f>
        <v/>
      </c>
      <c r="E14" s="52" t="str">
        <f>IF(Calculation!E14=Calculation!$A$140,Calculation!F14,"")</f>
        <v/>
      </c>
      <c r="F14" s="54" t="str">
        <f>IF(Calculation!E14=Calculation!$A$140,Calculation!G14,"")</f>
        <v/>
      </c>
      <c r="G14" s="54" t="str">
        <f>IF(Calculation!E14=Calculation!$A$140,Calculation!H14,"")</f>
        <v/>
      </c>
      <c r="H14" s="55"/>
      <c r="L14" s="78" t="s">
        <v>63</v>
      </c>
      <c r="O14" s="80" t="s">
        <v>64</v>
      </c>
      <c r="Q14" s="80" t="s">
        <v>65</v>
      </c>
      <c r="S14" s="69"/>
      <c r="T14" s="70"/>
    </row>
    <row r="15">
      <c r="A15" s="52" t="str">
        <f>IF(Calculation!E15=Calculation!$A$140,Calculation!B15,"")</f>
        <v/>
      </c>
      <c r="B15" s="53" t="str">
        <f>IF(Calculation!E15=Calculation!$A$140,Calculation!I15,"")</f>
        <v/>
      </c>
      <c r="C15" s="52" t="str">
        <f>IF(Calculation!E15=Calculation!$A$140,Calculation!D15,"")</f>
        <v/>
      </c>
      <c r="D15" s="52" t="str">
        <f>IF(Calculation!E15=Calculation!$A$140,Calculation!C15,"")</f>
        <v/>
      </c>
      <c r="E15" s="52" t="str">
        <f>IF(Calculation!E15=Calculation!$A$140,Calculation!F15,"")</f>
        <v/>
      </c>
      <c r="F15" s="54" t="str">
        <f>IF(Calculation!E15=Calculation!$A$140,Calculation!G15,"")</f>
        <v/>
      </c>
      <c r="G15" s="54" t="str">
        <f>IF(Calculation!E15=Calculation!$A$140,Calculation!H15,"")</f>
        <v/>
      </c>
      <c r="H15" s="55"/>
      <c r="L15" s="78" t="s">
        <v>66</v>
      </c>
      <c r="O15" s="78" t="s">
        <v>67</v>
      </c>
      <c r="Q15" s="75">
        <v>36531.0</v>
      </c>
      <c r="S15" s="69"/>
      <c r="T15" s="70"/>
    </row>
    <row r="16">
      <c r="A16" s="52" t="str">
        <f>IF(Calculation!E16=Calculation!$A$140,Calculation!B16,"")</f>
        <v/>
      </c>
      <c r="B16" s="53" t="str">
        <f>IF(Calculation!E16=Calculation!$A$140,Calculation!I16,"")</f>
        <v/>
      </c>
      <c r="C16" s="52" t="str">
        <f>IF(Calculation!E16=Calculation!$A$140,Calculation!D16,"")</f>
        <v/>
      </c>
      <c r="D16" s="52" t="str">
        <f>IF(Calculation!E16=Calculation!$A$140,Calculation!C16,"")</f>
        <v/>
      </c>
      <c r="E16" s="52" t="str">
        <f>IF(Calculation!E16=Calculation!$A$140,Calculation!F16,"")</f>
        <v/>
      </c>
      <c r="F16" s="54" t="str">
        <f>IF(Calculation!E16=Calculation!$A$140,Calculation!G16,"")</f>
        <v/>
      </c>
      <c r="G16" s="54" t="str">
        <f>IF(Calculation!E16=Calculation!$A$140,Calculation!H16,"")</f>
        <v/>
      </c>
      <c r="H16" s="55"/>
      <c r="L16" s="81"/>
      <c r="M16" s="82"/>
      <c r="N16" s="82"/>
      <c r="O16" s="81"/>
      <c r="P16" s="82"/>
      <c r="Q16" s="81"/>
      <c r="R16" s="82"/>
      <c r="S16" s="62"/>
      <c r="T16" s="64"/>
    </row>
    <row r="17">
      <c r="A17" s="52" t="str">
        <f>IF(Calculation!E17=Calculation!$A$140,Calculation!B17,"")</f>
        <v/>
      </c>
      <c r="B17" s="53" t="str">
        <f>IF(Calculation!E17=Calculation!$A$140,Calculation!I17,"")</f>
        <v/>
      </c>
      <c r="C17" s="52" t="str">
        <f>IF(Calculation!E17=Calculation!$A$140,Calculation!D17,"")</f>
        <v/>
      </c>
      <c r="D17" s="52" t="str">
        <f>IF(Calculation!E17=Calculation!$A$140,Calculation!C17,"")</f>
        <v/>
      </c>
      <c r="E17" s="52" t="str">
        <f>IF(Calculation!E17=Calculation!$A$140,Calculation!F17,"")</f>
        <v/>
      </c>
      <c r="F17" s="54" t="str">
        <f>IF(Calculation!E17=Calculation!$A$140,Calculation!G17,"")</f>
        <v/>
      </c>
      <c r="G17" s="54" t="str">
        <f>IF(Calculation!E17=Calculation!$A$140,Calculation!H17,"")</f>
        <v/>
      </c>
      <c r="H17" s="55"/>
      <c r="L17" s="62"/>
      <c r="M17" s="62"/>
      <c r="N17" s="62"/>
      <c r="O17" s="62"/>
      <c r="P17" s="69"/>
      <c r="Q17" s="62"/>
      <c r="R17" s="62"/>
      <c r="S17" s="69"/>
      <c r="T17" s="70"/>
    </row>
    <row r="18">
      <c r="A18" s="52" t="str">
        <f>IF(Calculation!E18=Calculation!$A$140,Calculation!B18,"")</f>
        <v/>
      </c>
      <c r="B18" s="53" t="str">
        <f>IF(Calculation!E18=Calculation!$A$140,Calculation!I18,"")</f>
        <v/>
      </c>
      <c r="C18" s="52" t="str">
        <f>IF(Calculation!E18=Calculation!$A$140,Calculation!D18,"")</f>
        <v/>
      </c>
      <c r="D18" s="52" t="str">
        <f>IF(Calculation!E18=Calculation!$A$140,Calculation!C18,"")</f>
        <v/>
      </c>
      <c r="E18" s="52" t="str">
        <f>IF(Calculation!E18=Calculation!$A$140,Calculation!F18,"")</f>
        <v/>
      </c>
      <c r="F18" s="54" t="str">
        <f>IF(Calculation!E18=Calculation!$A$140,Calculation!G18,"")</f>
        <v/>
      </c>
      <c r="G18" s="54" t="str">
        <f>IF(Calculation!E18=Calculation!$A$140,Calculation!H18,"")</f>
        <v/>
      </c>
      <c r="H18" s="55"/>
      <c r="L18" s="83" t="s">
        <v>68</v>
      </c>
      <c r="P18" s="84" t="s">
        <v>49</v>
      </c>
      <c r="Q18" s="84" t="s">
        <v>69</v>
      </c>
      <c r="R18" s="84" t="s">
        <v>70</v>
      </c>
      <c r="S18" s="69"/>
      <c r="T18" s="70"/>
    </row>
    <row r="19" ht="23.25" customHeight="1">
      <c r="A19" s="52"/>
      <c r="B19" s="53"/>
      <c r="C19" s="52"/>
      <c r="D19" s="52"/>
      <c r="E19" s="52"/>
      <c r="F19" s="54"/>
      <c r="G19" s="54"/>
      <c r="H19" s="55"/>
      <c r="L19" s="85" t="s">
        <v>85</v>
      </c>
      <c r="M19" s="85"/>
      <c r="N19" s="85"/>
      <c r="O19" s="85"/>
      <c r="P19" s="126">
        <v>1.0</v>
      </c>
      <c r="Q19" s="121">
        <f>SUMIF(Calculation!$D$3:$D$125,Calculation!A140,Calculation!$J$3:$J$125)</f>
        <v>312.5</v>
      </c>
      <c r="R19" s="122">
        <f t="shared" ref="R19:R24" si="1">product(P19,Q19)</f>
        <v>312.5</v>
      </c>
      <c r="S19" s="69"/>
      <c r="T19" s="70"/>
    </row>
    <row r="20" ht="23.25" customHeight="1">
      <c r="A20" s="52" t="str">
        <f>IF(Calculation!E19=Calculation!$A$140,Calculation!B19,"")</f>
        <v/>
      </c>
      <c r="B20" s="53" t="str">
        <f>IF(Calculation!E19=Calculation!$A$140,Calculation!I19,"")</f>
        <v/>
      </c>
      <c r="C20" s="52" t="str">
        <f>IF(Calculation!E19=Calculation!$A$140,Calculation!D19,"")</f>
        <v/>
      </c>
      <c r="D20" s="52" t="str">
        <f>IF(Calculation!E19=Calculation!$A$140,Calculation!C19,"")</f>
        <v/>
      </c>
      <c r="E20" s="52" t="str">
        <f>IF(Calculation!E19=Calculation!$A$140,Calculation!F19,"")</f>
        <v/>
      </c>
      <c r="F20" s="54" t="str">
        <f>IF(Calculation!E19=Calculation!$A$140,Calculation!G19,"")</f>
        <v/>
      </c>
      <c r="G20" s="54" t="str">
        <f>IF(Calculation!E19=Calculation!$A$140,Calculation!H19,"")</f>
        <v/>
      </c>
      <c r="H20" s="55"/>
      <c r="L20" s="85" t="s">
        <v>34</v>
      </c>
      <c r="P20" s="86">
        <f>SUMIFS(Calculation!$F$3:$F$125,Calculation!$C$3:$C$125,Calculation!B135,Calculation!$E$3:$E$125,Calculation!A140)</f>
        <v>2</v>
      </c>
      <c r="Q20" s="121">
        <f>(Calculation!B136)</f>
        <v>312.5</v>
      </c>
      <c r="R20" s="122">
        <f t="shared" si="1"/>
        <v>625</v>
      </c>
      <c r="S20" s="69"/>
      <c r="T20" s="70"/>
    </row>
    <row r="21" ht="18.0" customHeight="1">
      <c r="A21" s="52" t="str">
        <f>IF(Calculation!E20=Calculation!$A$140,Calculation!B20,"")</f>
        <v/>
      </c>
      <c r="B21" s="53" t="str">
        <f>IF(Calculation!E20=Calculation!$A$140,Calculation!I20,"")</f>
        <v/>
      </c>
      <c r="C21" s="52" t="str">
        <f>IF(Calculation!E20=Calculation!$A$140,Calculation!D20,"")</f>
        <v/>
      </c>
      <c r="D21" s="52" t="str">
        <f>IF(Calculation!E20=Calculation!$A$140,Calculation!C20,"")</f>
        <v/>
      </c>
      <c r="E21" s="52" t="str">
        <f>IF(Calculation!E20=Calculation!$A$140,Calculation!F20,"")</f>
        <v/>
      </c>
      <c r="F21" s="54" t="str">
        <f>IF(Calculation!E20=Calculation!$A$140,Calculation!G20,"")</f>
        <v/>
      </c>
      <c r="G21" s="54" t="str">
        <f>IF(Calculation!E20=Calculation!$A$140,Calculation!H20,"")</f>
        <v/>
      </c>
      <c r="H21" s="55"/>
      <c r="L21" s="89" t="s">
        <v>35</v>
      </c>
      <c r="P21" s="86">
        <f>SUMIFS(Calculation!$F$3:$F$125,Calculation!$C$3:$C$125,Calculation!C135,Calculation!$E$3:$E$125,Calculation!A140)</f>
        <v>0</v>
      </c>
      <c r="Q21" s="121">
        <f>(Calculation!C136)</f>
        <v>468.75</v>
      </c>
      <c r="R21" s="123">
        <f t="shared" si="1"/>
        <v>0</v>
      </c>
      <c r="S21" s="69"/>
      <c r="T21" s="70"/>
    </row>
    <row r="22" ht="21.0" customHeight="1">
      <c r="A22" s="52" t="str">
        <f>IF(Calculation!E21=Calculation!$A$140,Calculation!B21,"")</f>
        <v/>
      </c>
      <c r="B22" s="53" t="str">
        <f>IF(Calculation!E21=Calculation!$A$140,Calculation!I21,"")</f>
        <v/>
      </c>
      <c r="C22" s="52" t="str">
        <f>IF(Calculation!E21=Calculation!$A$140,Calculation!D21,"")</f>
        <v/>
      </c>
      <c r="D22" s="52" t="str">
        <f>IF(Calculation!E21=Calculation!$A$140,Calculation!C21,"")</f>
        <v/>
      </c>
      <c r="E22" s="52" t="str">
        <f>IF(Calculation!E21=Calculation!$A$140,Calculation!F21,"")</f>
        <v/>
      </c>
      <c r="F22" s="54" t="str">
        <f>IF(Calculation!E21=Calculation!$A$140,Calculation!G21,"")</f>
        <v/>
      </c>
      <c r="G22" s="54" t="str">
        <f>IF(Calculation!E21=Calculation!$A$140,Calculation!H21,"")</f>
        <v/>
      </c>
      <c r="H22" s="55"/>
      <c r="L22" s="91" t="s">
        <v>25</v>
      </c>
      <c r="P22" s="86">
        <f>SUMIFS(Calculation!$F$3:$F$125,Calculation!$C$3:$C$125,Calculation!D135,Calculation!$E$3:$E$125,Calculation!A140)</f>
        <v>0</v>
      </c>
      <c r="Q22" s="121">
        <f>(Calculation!D136)</f>
        <v>86</v>
      </c>
      <c r="R22" s="122">
        <f t="shared" si="1"/>
        <v>0</v>
      </c>
      <c r="S22" s="69"/>
      <c r="T22" s="70"/>
    </row>
    <row r="23" ht="21.0" customHeight="1">
      <c r="A23" s="52" t="str">
        <f>IF(Calculation!E22=Calculation!$A$140,Calculation!B22,"")</f>
        <v/>
      </c>
      <c r="B23" s="53" t="str">
        <f>IF(Calculation!E22=Calculation!$A$140,Calculation!I22,"")</f>
        <v/>
      </c>
      <c r="C23" s="52" t="str">
        <f>IF(Calculation!E22=Calculation!$A$140,Calculation!D22,"")</f>
        <v/>
      </c>
      <c r="D23" s="52" t="str">
        <f>IF(Calculation!E22=Calculation!$A$140,Calculation!C22,"")</f>
        <v/>
      </c>
      <c r="E23" s="52" t="str">
        <f>IF(Calculation!E22=Calculation!$A$140,Calculation!F22,"")</f>
        <v/>
      </c>
      <c r="F23" s="54" t="str">
        <f>IF(Calculation!E22=Calculation!$A$140,Calculation!G22,"")</f>
        <v/>
      </c>
      <c r="G23" s="54" t="str">
        <f>IF(Calculation!E22=Calculation!$A$140,Calculation!H22,"")</f>
        <v/>
      </c>
      <c r="H23" s="55"/>
      <c r="L23" s="92" t="s">
        <v>36</v>
      </c>
      <c r="P23" s="86">
        <f>SUMIFS(Calculation!$F$3:$F$125,Calculation!$C$3:$C$125,Calculation!E135,Calculation!$E$3:$E$125,Calculation!A140)</f>
        <v>0</v>
      </c>
      <c r="Q23" s="121">
        <f>(Calculation!E136)</f>
        <v>156.25</v>
      </c>
      <c r="R23" s="123">
        <f t="shared" si="1"/>
        <v>0</v>
      </c>
      <c r="S23" s="69"/>
      <c r="T23" s="70"/>
    </row>
    <row r="24" ht="20.25" customHeight="1">
      <c r="A24" s="52" t="str">
        <f>IF(Calculation!E23=Calculation!$A$140,Calculation!B23,"")</f>
        <v/>
      </c>
      <c r="B24" s="53" t="str">
        <f>IF(Calculation!E23=Calculation!$A$140,Calculation!I23,"")</f>
        <v/>
      </c>
      <c r="C24" s="52" t="str">
        <f>IF(Calculation!E23=Calculation!$A$140,Calculation!D23,"")</f>
        <v/>
      </c>
      <c r="D24" s="52" t="str">
        <f>IF(Calculation!E23=Calculation!$A$140,Calculation!C23,"")</f>
        <v/>
      </c>
      <c r="E24" s="52" t="str">
        <f>IF(Calculation!E23=Calculation!$A$140,Calculation!F23,"")</f>
        <v/>
      </c>
      <c r="F24" s="54" t="str">
        <f>IF(Calculation!E23=Calculation!$A$140,Calculation!G23,"")</f>
        <v/>
      </c>
      <c r="G24" s="54" t="str">
        <f>IF(Calculation!E23=Calculation!$A$140,Calculation!H23,"")</f>
        <v/>
      </c>
      <c r="H24" s="55"/>
      <c r="L24" s="93" t="s">
        <v>16</v>
      </c>
      <c r="M24" s="93"/>
      <c r="N24" s="94"/>
      <c r="O24" s="94"/>
      <c r="P24" s="86">
        <f>SUMIFS(Calculation!$F$3:$F$125,Calculation!$C$3:$C$125,Calculation!F135,Calculation!$E$3:$E$125,Calculation!A140)</f>
        <v>0</v>
      </c>
      <c r="Q24" s="124">
        <f>(Calculation!F136)</f>
        <v>140</v>
      </c>
      <c r="R24" s="125">
        <f t="shared" si="1"/>
        <v>0</v>
      </c>
      <c r="S24" s="69"/>
      <c r="T24" s="70"/>
    </row>
    <row r="25">
      <c r="A25" s="52" t="str">
        <f>IF(Calculation!E24=Calculation!$A$140,Calculation!B24,"")</f>
        <v/>
      </c>
      <c r="B25" s="53" t="str">
        <f>IF(Calculation!E24=Calculation!$A$140,Calculation!I24,"")</f>
        <v/>
      </c>
      <c r="C25" s="52" t="str">
        <f>IF(Calculation!E24=Calculation!$A$140,Calculation!D24,"")</f>
        <v/>
      </c>
      <c r="D25" s="52" t="str">
        <f>IF(Calculation!E24=Calculation!$A$140,Calculation!C24,"")</f>
        <v/>
      </c>
      <c r="E25" s="52" t="str">
        <f>IF(Calculation!E24=Calculation!$A$140,Calculation!F24,"")</f>
        <v/>
      </c>
      <c r="F25" s="54" t="str">
        <f>IF(Calculation!E24=Calculation!$A$140,Calculation!G24,"")</f>
        <v/>
      </c>
      <c r="G25" s="54" t="str">
        <f>IF(Calculation!E24=Calculation!$A$140,Calculation!H24,"")</f>
        <v/>
      </c>
      <c r="H25" s="55"/>
      <c r="L25" s="97" t="s">
        <v>71</v>
      </c>
      <c r="M25" s="97"/>
      <c r="N25" s="62"/>
      <c r="Q25" s="98" t="s">
        <v>72</v>
      </c>
      <c r="R25" s="99">
        <f>sum(R19:R24)</f>
        <v>937.5</v>
      </c>
      <c r="S25" s="62"/>
      <c r="T25" s="64"/>
    </row>
    <row r="26">
      <c r="A26" s="52" t="str">
        <f>IF(Calculation!E25=Calculation!$A$140,Calculation!B25,"")</f>
        <v/>
      </c>
      <c r="B26" s="53" t="str">
        <f>IF(Calculation!E25=Calculation!$A$140,Calculation!I25,"")</f>
        <v/>
      </c>
      <c r="C26" s="52" t="str">
        <f>IF(Calculation!E25=Calculation!$A$140,Calculation!D25,"")</f>
        <v/>
      </c>
      <c r="D26" s="52" t="str">
        <f>IF(Calculation!E25=Calculation!$A$140,Calculation!C25,"")</f>
        <v/>
      </c>
      <c r="E26" s="52" t="str">
        <f>IF(Calculation!E25=Calculation!$A$140,Calculation!F25,"")</f>
        <v/>
      </c>
      <c r="F26" s="54" t="str">
        <f>IF(Calculation!E25=Calculation!$A$140,Calculation!G25,"")</f>
        <v/>
      </c>
      <c r="G26" s="54" t="str">
        <f>IF(Calculation!E25=Calculation!$A$140,Calculation!H25,"")</f>
        <v/>
      </c>
      <c r="H26" s="55"/>
      <c r="L26" s="62"/>
      <c r="M26" s="62"/>
      <c r="N26" s="62"/>
      <c r="Q26" s="98" t="s">
        <v>73</v>
      </c>
      <c r="R26" s="100">
        <v>0.0</v>
      </c>
      <c r="S26" s="62"/>
      <c r="T26" s="64"/>
    </row>
    <row r="27">
      <c r="A27" s="52" t="str">
        <f>IF(Calculation!E26=Calculation!$A$140,Calculation!B26,"")</f>
        <v/>
      </c>
      <c r="B27" s="53" t="str">
        <f>IF(Calculation!E26=Calculation!$A$140,Calculation!I26,"")</f>
        <v/>
      </c>
      <c r="C27" s="52" t="str">
        <f>IF(Calculation!E26=Calculation!$A$140,Calculation!D26,"")</f>
        <v/>
      </c>
      <c r="D27" s="52" t="str">
        <f>IF(Calculation!E26=Calculation!$A$140,Calculation!C26,"")</f>
        <v/>
      </c>
      <c r="E27" s="52" t="str">
        <f>IF(Calculation!E26=Calculation!$A$140,Calculation!F26,"")</f>
        <v/>
      </c>
      <c r="F27" s="54" t="str">
        <f>IF(Calculation!E26=Calculation!$A$140,Calculation!G26,"")</f>
        <v/>
      </c>
      <c r="G27" s="54" t="str">
        <f>IF(Calculation!E26=Calculation!$A$140,Calculation!H26,"")</f>
        <v/>
      </c>
      <c r="H27" s="55"/>
      <c r="L27" s="69"/>
      <c r="M27" s="69"/>
      <c r="N27" s="69"/>
      <c r="O27" s="69"/>
      <c r="P27" s="69"/>
      <c r="Q27" s="101">
        <f>sum(R25,R26)</f>
        <v>937.5</v>
      </c>
      <c r="S27" s="69"/>
      <c r="T27" s="70"/>
    </row>
    <row r="28">
      <c r="A28" s="52" t="str">
        <f>IF(Calculation!E27=Calculation!$A$140,Calculation!B27,"")</f>
        <v/>
      </c>
      <c r="B28" s="53" t="str">
        <f>IF(Calculation!E27=Calculation!$A$140,Calculation!I27,"")</f>
        <v/>
      </c>
      <c r="C28" s="52" t="str">
        <f>IF(Calculation!E27=Calculation!$A$140,Calculation!D27,"")</f>
        <v/>
      </c>
      <c r="D28" s="52" t="str">
        <f>IF(Calculation!E27=Calculation!$A$140,Calculation!C27,"")</f>
        <v/>
      </c>
      <c r="E28" s="52" t="str">
        <f>IF(Calculation!E27=Calculation!$A$140,Calculation!F27,"")</f>
        <v/>
      </c>
      <c r="F28" s="54" t="str">
        <f>IF(Calculation!E27=Calculation!$A$140,Calculation!G27,"")</f>
        <v/>
      </c>
      <c r="G28" s="54" t="str">
        <f>IF(Calculation!E27=Calculation!$A$140,Calculation!H27,"")</f>
        <v/>
      </c>
      <c r="H28" s="55"/>
      <c r="L28" s="102"/>
      <c r="M28" s="102"/>
      <c r="N28" s="69"/>
      <c r="O28" s="69"/>
      <c r="P28" s="69"/>
      <c r="Q28" s="69"/>
      <c r="R28" s="69"/>
      <c r="S28" s="69"/>
      <c r="T28" s="70"/>
    </row>
    <row r="29">
      <c r="A29" s="52" t="str">
        <f>IF(Calculation!E28=Calculation!$A$140,Calculation!B28,"")</f>
        <v/>
      </c>
      <c r="B29" s="53" t="str">
        <f>IF(Calculation!E28=Calculation!$A$140,Calculation!I28,"")</f>
        <v/>
      </c>
      <c r="C29" s="52" t="str">
        <f>IF(Calculation!E28=Calculation!$A$140,Calculation!D28,"")</f>
        <v/>
      </c>
      <c r="D29" s="52" t="str">
        <f>IF(Calculation!E28=Calculation!$A$140,Calculation!C28,"")</f>
        <v/>
      </c>
      <c r="E29" s="52" t="str">
        <f>IF(Calculation!E28=Calculation!$A$140,Calculation!F28,"")</f>
        <v/>
      </c>
      <c r="F29" s="54" t="str">
        <f>IF(Calculation!E28=Calculation!$A$140,Calculation!G28,"")</f>
        <v/>
      </c>
      <c r="G29" s="54" t="str">
        <f>IF(Calculation!E28=Calculation!$A$140,Calculation!H28,"")</f>
        <v/>
      </c>
      <c r="H29" s="55"/>
      <c r="T29" s="103"/>
    </row>
    <row r="30">
      <c r="A30" s="52" t="str">
        <f>IF(Calculation!E29=Calculation!$A$140,Calculation!B29,"")</f>
        <v/>
      </c>
      <c r="B30" s="53" t="str">
        <f>IF(Calculation!E29=Calculation!$A$140,Calculation!I29,"")</f>
        <v/>
      </c>
      <c r="C30" s="52" t="str">
        <f>IF(Calculation!E29=Calculation!$A$140,Calculation!D29,"")</f>
        <v/>
      </c>
      <c r="D30" s="52" t="str">
        <f>IF(Calculation!E29=Calculation!$A$140,Calculation!C29,"")</f>
        <v/>
      </c>
      <c r="E30" s="52" t="str">
        <f>IF(Calculation!E29=Calculation!$A$140,Calculation!F29,"")</f>
        <v/>
      </c>
      <c r="F30" s="54" t="str">
        <f>IF(Calculation!E29=Calculation!$A$140,Calculation!G29,"")</f>
        <v/>
      </c>
      <c r="G30" s="54" t="str">
        <f>IF(Calculation!E29=Calculation!$A$140,Calculation!H29,"")</f>
        <v/>
      </c>
      <c r="H30" s="55"/>
      <c r="T30" s="103"/>
    </row>
    <row r="31">
      <c r="A31" s="52" t="str">
        <f>IF(Calculation!E30=Calculation!$A$140,Calculation!B30,"")</f>
        <v/>
      </c>
      <c r="B31" s="53" t="str">
        <f>IF(Calculation!E30=Calculation!$A$140,Calculation!I30,"")</f>
        <v/>
      </c>
      <c r="C31" s="52" t="str">
        <f>IF(Calculation!E30=Calculation!$A$140,Calculation!D30,"")</f>
        <v/>
      </c>
      <c r="D31" s="52" t="str">
        <f>IF(Calculation!E30=Calculation!$A$140,Calculation!C30,"")</f>
        <v/>
      </c>
      <c r="E31" s="52" t="str">
        <f>IF(Calculation!E30=Calculation!$A$140,Calculation!F30,"")</f>
        <v/>
      </c>
      <c r="F31" s="54" t="str">
        <f>IF(Calculation!E30=Calculation!$A$140,Calculation!G30,"")</f>
        <v/>
      </c>
      <c r="G31" s="54" t="str">
        <f>IF(Calculation!E30=Calculation!$A$140,Calculation!H30,"")</f>
        <v/>
      </c>
      <c r="H31" s="55"/>
      <c r="T31" s="103"/>
    </row>
    <row r="32">
      <c r="A32" s="52" t="str">
        <f>IF(Calculation!E31=Calculation!$A$140,Calculation!B31,"")</f>
        <v/>
      </c>
      <c r="B32" s="53" t="str">
        <f>IF(Calculation!E31=Calculation!$A$140,Calculation!I31,"")</f>
        <v/>
      </c>
      <c r="C32" s="52" t="str">
        <f>IF(Calculation!E31=Calculation!$A$140,Calculation!D31,"")</f>
        <v/>
      </c>
      <c r="D32" s="52" t="str">
        <f>IF(Calculation!E31=Calculation!$A$140,Calculation!C31,"")</f>
        <v/>
      </c>
      <c r="E32" s="52" t="str">
        <f>IF(Calculation!E31=Calculation!$A$140,Calculation!F31,"")</f>
        <v/>
      </c>
      <c r="F32" s="54" t="str">
        <f>IF(Calculation!E31=Calculation!$A$140,Calculation!G31,"")</f>
        <v/>
      </c>
      <c r="G32" s="54" t="str">
        <f>IF(Calculation!E31=Calculation!$A$140,Calculation!H31,"")</f>
        <v/>
      </c>
      <c r="H32" s="55"/>
      <c r="T32" s="103"/>
    </row>
    <row r="33">
      <c r="A33" s="52" t="str">
        <f>IF(Calculation!E32=Calculation!$A$140,Calculation!B32,"")</f>
        <v/>
      </c>
      <c r="B33" s="53" t="str">
        <f>IF(Calculation!E32=Calculation!$A$140,Calculation!I32,"")</f>
        <v/>
      </c>
      <c r="C33" s="52" t="str">
        <f>IF(Calculation!E32=Calculation!$A$140,Calculation!D32,"")</f>
        <v/>
      </c>
      <c r="D33" s="52" t="str">
        <f>IF(Calculation!E32=Calculation!$A$140,Calculation!C32,"")</f>
        <v/>
      </c>
      <c r="E33" s="52" t="str">
        <f>IF(Calculation!E32=Calculation!$A$140,Calculation!F32,"")</f>
        <v/>
      </c>
      <c r="F33" s="54" t="str">
        <f>IF(Calculation!E32=Calculation!$A$140,Calculation!G32,"")</f>
        <v/>
      </c>
      <c r="G33" s="54" t="str">
        <f>IF(Calculation!E32=Calculation!$A$140,Calculation!H32,"")</f>
        <v/>
      </c>
      <c r="H33" s="55"/>
      <c r="T33" s="103"/>
    </row>
    <row r="34">
      <c r="A34" s="52" t="str">
        <f>IF(Calculation!E33=Calculation!$A$140,Calculation!B33,"")</f>
        <v/>
      </c>
      <c r="B34" s="53" t="str">
        <f>IF(Calculation!E33=Calculation!$A$140,Calculation!I33,"")</f>
        <v/>
      </c>
      <c r="C34" s="52" t="str">
        <f>IF(Calculation!E33=Calculation!$A$140,Calculation!D33,"")</f>
        <v/>
      </c>
      <c r="D34" s="52" t="str">
        <f>IF(Calculation!E33=Calculation!$A$140,Calculation!C33,"")</f>
        <v/>
      </c>
      <c r="E34" s="52" t="str">
        <f>IF(Calculation!E33=Calculation!$A$140,Calculation!F33,"")</f>
        <v/>
      </c>
      <c r="F34" s="54" t="str">
        <f>IF(Calculation!E33=Calculation!$A$140,Calculation!G33,"")</f>
        <v/>
      </c>
      <c r="G34" s="54" t="str">
        <f>IF(Calculation!E33=Calculation!$A$140,Calculation!H33,"")</f>
        <v/>
      </c>
      <c r="H34" s="55"/>
      <c r="T34" s="103"/>
    </row>
    <row r="35">
      <c r="A35" s="52" t="str">
        <f>IF(Calculation!E34=Calculation!$A$140,Calculation!B34,"")</f>
        <v/>
      </c>
      <c r="B35" s="53" t="str">
        <f>IF(Calculation!E34=Calculation!$A$140,Calculation!I34,"")</f>
        <v/>
      </c>
      <c r="C35" s="52" t="str">
        <f>IF(Calculation!E34=Calculation!$A$140,Calculation!D34,"")</f>
        <v/>
      </c>
      <c r="D35" s="52" t="str">
        <f>IF(Calculation!E34=Calculation!$A$140,Calculation!C34,"")</f>
        <v/>
      </c>
      <c r="E35" s="52" t="str">
        <f>IF(Calculation!E34=Calculation!$A$140,Calculation!F34,"")</f>
        <v/>
      </c>
      <c r="F35" s="54" t="str">
        <f>IF(Calculation!E34=Calculation!$A$140,Calculation!G34,"")</f>
        <v/>
      </c>
      <c r="G35" s="54" t="str">
        <f>IF(Calculation!E34=Calculation!$A$140,Calculation!H34,"")</f>
        <v/>
      </c>
      <c r="H35" s="55"/>
      <c r="T35" s="103"/>
    </row>
    <row r="36">
      <c r="A36" s="52" t="str">
        <f>IF(Calculation!E35=Calculation!$A$140,Calculation!B35,"")</f>
        <v/>
      </c>
      <c r="B36" s="53" t="str">
        <f>IF(Calculation!E35=Calculation!$A$140,Calculation!I35,"")</f>
        <v/>
      </c>
      <c r="C36" s="52" t="str">
        <f>IF(Calculation!E35=Calculation!$A$140,Calculation!D35,"")</f>
        <v/>
      </c>
      <c r="D36" s="52" t="str">
        <f>IF(Calculation!E35=Calculation!$A$140,Calculation!C35,"")</f>
        <v/>
      </c>
      <c r="E36" s="52" t="str">
        <f>IF(Calculation!E35=Calculation!$A$140,Calculation!F35,"")</f>
        <v/>
      </c>
      <c r="F36" s="54" t="str">
        <f>IF(Calculation!E35=Calculation!$A$140,Calculation!G35,"")</f>
        <v/>
      </c>
      <c r="G36" s="54" t="str">
        <f>IF(Calculation!E35=Calculation!$A$140,Calculation!H35,"")</f>
        <v/>
      </c>
      <c r="H36" s="55"/>
      <c r="T36" s="103"/>
    </row>
    <row r="37">
      <c r="A37" s="52" t="str">
        <f>IF(Calculation!E36=Calculation!$A$140,Calculation!B36,"")</f>
        <v/>
      </c>
      <c r="B37" s="53" t="str">
        <f>IF(Calculation!E36=Calculation!$A$140,Calculation!I36,"")</f>
        <v/>
      </c>
      <c r="C37" s="52" t="str">
        <f>IF(Calculation!E36=Calculation!$A$140,Calculation!D36,"")</f>
        <v/>
      </c>
      <c r="D37" s="52" t="str">
        <f>IF(Calculation!E36=Calculation!$A$140,Calculation!C36,"")</f>
        <v/>
      </c>
      <c r="E37" s="52" t="str">
        <f>IF(Calculation!E36=Calculation!$A$140,Calculation!F36,"")</f>
        <v/>
      </c>
      <c r="F37" s="54" t="str">
        <f>IF(Calculation!E36=Calculation!$A$140,Calculation!G36,"")</f>
        <v/>
      </c>
      <c r="G37" s="54" t="str">
        <f>IF(Calculation!E36=Calculation!$A$140,Calculation!H36,"")</f>
        <v/>
      </c>
      <c r="H37" s="55"/>
      <c r="T37" s="103"/>
    </row>
    <row r="38">
      <c r="A38" s="52" t="str">
        <f>IF(Calculation!E37=Calculation!$A$140,Calculation!B37,"")</f>
        <v/>
      </c>
      <c r="B38" s="53" t="str">
        <f>IF(Calculation!E37=Calculation!$A$140,Calculation!I37,"")</f>
        <v/>
      </c>
      <c r="C38" s="52" t="str">
        <f>IF(Calculation!E37=Calculation!$A$140,Calculation!D37,"")</f>
        <v/>
      </c>
      <c r="D38" s="52" t="str">
        <f>IF(Calculation!E37=Calculation!$A$140,Calculation!C37,"")</f>
        <v/>
      </c>
      <c r="E38" s="52" t="str">
        <f>IF(Calculation!E37=Calculation!$A$140,Calculation!F37,"")</f>
        <v/>
      </c>
      <c r="F38" s="54" t="str">
        <f>IF(Calculation!E37=Calculation!$A$140,Calculation!G37,"")</f>
        <v/>
      </c>
      <c r="G38" s="54" t="str">
        <f>IF(Calculation!E37=Calculation!$A$140,Calculation!H37,"")</f>
        <v/>
      </c>
      <c r="H38" s="55"/>
      <c r="T38" s="103"/>
    </row>
    <row r="39">
      <c r="A39" s="52" t="str">
        <f>IF(Calculation!E38=Calculation!$A$140,Calculation!B38,"")</f>
        <v/>
      </c>
      <c r="B39" s="53" t="str">
        <f>IF(Calculation!E38=Calculation!$A$140,Calculation!I38,"")</f>
        <v/>
      </c>
      <c r="C39" s="52" t="str">
        <f>IF(Calculation!E38=Calculation!$A$140,Calculation!D38,"")</f>
        <v/>
      </c>
      <c r="D39" s="52" t="str">
        <f>IF(Calculation!E38=Calculation!$A$140,Calculation!C38,"")</f>
        <v/>
      </c>
      <c r="E39" s="52" t="str">
        <f>IF(Calculation!E38=Calculation!$A$140,Calculation!F38,"")</f>
        <v/>
      </c>
      <c r="F39" s="54" t="str">
        <f>IF(Calculation!E38=Calculation!$A$140,Calculation!G38,"")</f>
        <v/>
      </c>
      <c r="G39" s="54" t="str">
        <f>IF(Calculation!E38=Calculation!$A$140,Calculation!H38,"")</f>
        <v/>
      </c>
      <c r="H39" s="55"/>
      <c r="T39" s="103"/>
    </row>
    <row r="40">
      <c r="A40" s="52" t="str">
        <f>IF(Calculation!E39=Calculation!$A$140,Calculation!B39,"")</f>
        <v/>
      </c>
      <c r="B40" s="53" t="str">
        <f>IF(Calculation!E39=Calculation!$A$140,Calculation!I39,"")</f>
        <v/>
      </c>
      <c r="C40" s="52" t="str">
        <f>IF(Calculation!E39=Calculation!$A$140,Calculation!D39,"")</f>
        <v/>
      </c>
      <c r="D40" s="52" t="str">
        <f>IF(Calculation!E39=Calculation!$A$140,Calculation!C39,"")</f>
        <v/>
      </c>
      <c r="E40" s="52" t="str">
        <f>IF(Calculation!E39=Calculation!$A$140,Calculation!F39,"")</f>
        <v/>
      </c>
      <c r="F40" s="54" t="str">
        <f>IF(Calculation!E39=Calculation!$A$140,Calculation!G39,"")</f>
        <v/>
      </c>
      <c r="G40" s="54" t="str">
        <f>IF(Calculation!E39=Calculation!$A$140,Calculation!H39,"")</f>
        <v/>
      </c>
      <c r="H40" s="55"/>
      <c r="T40" s="103"/>
    </row>
    <row r="41">
      <c r="A41" s="52" t="str">
        <f>IF(Calculation!E40=Calculation!$A$140,Calculation!B40,"")</f>
        <v/>
      </c>
      <c r="B41" s="53" t="str">
        <f>IF(Calculation!E40=Calculation!$A$140,Calculation!I40,"")</f>
        <v/>
      </c>
      <c r="C41" s="52" t="str">
        <f>IF(Calculation!E40=Calculation!$A$140,Calculation!D40,"")</f>
        <v/>
      </c>
      <c r="D41" s="52" t="str">
        <f>IF(Calculation!E40=Calculation!$A$140,Calculation!C40,"")</f>
        <v/>
      </c>
      <c r="E41" s="52" t="str">
        <f>IF(Calculation!E40=Calculation!$A$140,Calculation!F40,"")</f>
        <v/>
      </c>
      <c r="F41" s="54" t="str">
        <f>IF(Calculation!E40=Calculation!$A$140,Calculation!G40,"")</f>
        <v/>
      </c>
      <c r="G41" s="54" t="str">
        <f>IF(Calculation!E40=Calculation!$A$140,Calculation!H40,"")</f>
        <v/>
      </c>
      <c r="H41" s="55"/>
      <c r="L41" s="104"/>
      <c r="M41" s="104"/>
      <c r="N41" s="104"/>
      <c r="O41" s="104"/>
      <c r="P41" s="104"/>
      <c r="Q41" s="104"/>
      <c r="R41" s="104"/>
      <c r="S41" s="104"/>
      <c r="T41" s="105"/>
    </row>
    <row r="42">
      <c r="A42" s="52" t="str">
        <f>IF(Calculation!E41=Calculation!$A$140,Calculation!B41,"")</f>
        <v/>
      </c>
      <c r="B42" s="53" t="str">
        <f>IF(Calculation!E41=Calculation!$A$140,Calculation!I41,"")</f>
        <v/>
      </c>
      <c r="C42" s="52" t="str">
        <f>IF(Calculation!E41=Calculation!$A$140,Calculation!D41,"")</f>
        <v/>
      </c>
      <c r="D42" s="52" t="str">
        <f>IF(Calculation!E41=Calculation!$A$140,Calculation!C41,"")</f>
        <v/>
      </c>
      <c r="E42" s="52" t="str">
        <f>IF(Calculation!E41=Calculation!$A$140,Calculation!F41,"")</f>
        <v/>
      </c>
      <c r="F42" s="54" t="str">
        <f>IF(Calculation!E41=Calculation!$A$140,Calculation!G41,"")</f>
        <v/>
      </c>
      <c r="G42" s="54" t="str">
        <f>IF(Calculation!E41=Calculation!$A$140,Calculation!H41,"")</f>
        <v/>
      </c>
      <c r="H42" s="55"/>
    </row>
    <row r="43">
      <c r="A43" s="52" t="str">
        <f>IF(Calculation!E42=Calculation!$A$140,Calculation!B42,"")</f>
        <v/>
      </c>
      <c r="B43" s="53" t="str">
        <f>IF(Calculation!E42=Calculation!$A$140,Calculation!I42,"")</f>
        <v/>
      </c>
      <c r="C43" s="52" t="str">
        <f>IF(Calculation!E42=Calculation!$A$140,Calculation!D42,"")</f>
        <v/>
      </c>
      <c r="D43" s="52" t="str">
        <f>IF(Calculation!E42=Calculation!$A$140,Calculation!C42,"")</f>
        <v/>
      </c>
      <c r="E43" s="52" t="str">
        <f>IF(Calculation!E42=Calculation!$A$140,Calculation!F42,"")</f>
        <v/>
      </c>
      <c r="F43" s="54" t="str">
        <f>IF(Calculation!E42=Calculation!$A$140,Calculation!G42,"")</f>
        <v/>
      </c>
      <c r="G43" s="54" t="str">
        <f>IF(Calculation!E42=Calculation!$A$140,Calculation!H42,"")</f>
        <v/>
      </c>
      <c r="H43" s="55"/>
    </row>
    <row r="44">
      <c r="A44" s="52" t="str">
        <f>IF(Calculation!E43=Calculation!$A$140,Calculation!B43,"")</f>
        <v/>
      </c>
      <c r="B44" s="53" t="str">
        <f>IF(Calculation!E43=Calculation!$A$140,Calculation!I43,"")</f>
        <v/>
      </c>
      <c r="C44" s="52" t="str">
        <f>IF(Calculation!E43=Calculation!$A$140,Calculation!D43,"")</f>
        <v/>
      </c>
      <c r="D44" s="52" t="str">
        <f>IF(Calculation!E43=Calculation!$A$140,Calculation!C43,"")</f>
        <v/>
      </c>
      <c r="E44" s="52" t="str">
        <f>IF(Calculation!E43=Calculation!$A$140,Calculation!F43,"")</f>
        <v/>
      </c>
      <c r="F44" s="54" t="str">
        <f>IF(Calculation!E43=Calculation!$A$140,Calculation!G43,"")</f>
        <v/>
      </c>
      <c r="G44" s="54" t="str">
        <f>IF(Calculation!E43=Calculation!$A$140,Calculation!H43,"")</f>
        <v/>
      </c>
      <c r="H44" s="55"/>
    </row>
    <row r="45">
      <c r="A45" s="52" t="str">
        <f>IF(Calculation!E44=Calculation!$A$140,Calculation!B44,"")</f>
        <v/>
      </c>
      <c r="B45" s="53" t="str">
        <f>IF(Calculation!E44=Calculation!$A$140,Calculation!I44,"")</f>
        <v/>
      </c>
      <c r="C45" s="52" t="str">
        <f>IF(Calculation!E44=Calculation!$A$140,Calculation!D44,"")</f>
        <v/>
      </c>
      <c r="D45" s="52" t="str">
        <f>IF(Calculation!E44=Calculation!$A$140,Calculation!C44,"")</f>
        <v/>
      </c>
      <c r="E45" s="52" t="str">
        <f>IF(Calculation!E44=Calculation!$A$140,Calculation!F44,"")</f>
        <v/>
      </c>
      <c r="F45" s="54" t="str">
        <f>IF(Calculation!E44=Calculation!$A$140,Calculation!G44,"")</f>
        <v/>
      </c>
      <c r="G45" s="54" t="str">
        <f>IF(Calculation!E44=Calculation!$A$140,Calculation!H44,"")</f>
        <v/>
      </c>
      <c r="H45" s="55"/>
    </row>
    <row r="46">
      <c r="A46" s="52" t="str">
        <f>IF(Calculation!E45=Calculation!$A$140,Calculation!B45,"")</f>
        <v/>
      </c>
      <c r="B46" s="53" t="str">
        <f>IF(Calculation!E45=Calculation!$A$140,Calculation!I45,"")</f>
        <v/>
      </c>
      <c r="C46" s="52" t="str">
        <f>IF(Calculation!E45=Calculation!$A$140,Calculation!D45,"")</f>
        <v/>
      </c>
      <c r="D46" s="52" t="str">
        <f>IF(Calculation!E45=Calculation!$A$140,Calculation!C45,"")</f>
        <v/>
      </c>
      <c r="E46" s="52" t="str">
        <f>IF(Calculation!E45=Calculation!$A$140,Calculation!F45,"")</f>
        <v/>
      </c>
      <c r="F46" s="54" t="str">
        <f>IF(Calculation!E45=Calculation!$A$140,Calculation!G45,"")</f>
        <v/>
      </c>
      <c r="G46" s="54" t="str">
        <f>IF(Calculation!E45=Calculation!$A$140,Calculation!H45,"")</f>
        <v/>
      </c>
      <c r="H46" s="55"/>
    </row>
    <row r="47">
      <c r="A47" s="52" t="str">
        <f>IF(Calculation!E46=Calculation!$A$140,Calculation!B46,"")</f>
        <v/>
      </c>
      <c r="B47" s="53" t="str">
        <f>IF(Calculation!E46=Calculation!$A$140,Calculation!I46,"")</f>
        <v/>
      </c>
      <c r="C47" s="52" t="str">
        <f>IF(Calculation!E46=Calculation!$A$140,Calculation!D46,"")</f>
        <v/>
      </c>
      <c r="D47" s="52" t="str">
        <f>IF(Calculation!E46=Calculation!$A$140,Calculation!C46,"")</f>
        <v/>
      </c>
      <c r="E47" s="52" t="str">
        <f>IF(Calculation!E46=Calculation!$A$140,Calculation!F46,"")</f>
        <v/>
      </c>
      <c r="F47" s="54" t="str">
        <f>IF(Calculation!E46=Calculation!$A$140,Calculation!G46,"")</f>
        <v/>
      </c>
      <c r="G47" s="54" t="str">
        <f>IF(Calculation!E46=Calculation!$A$140,Calculation!H46,"")</f>
        <v/>
      </c>
      <c r="H47" s="55"/>
    </row>
    <row r="48">
      <c r="A48" s="52" t="str">
        <f>IF(Calculation!E47=Calculation!$A$140,Calculation!B47,"")</f>
        <v/>
      </c>
      <c r="B48" s="53" t="str">
        <f>IF(Calculation!E47=Calculation!$A$140,Calculation!I47,"")</f>
        <v/>
      </c>
      <c r="C48" s="52" t="str">
        <f>IF(Calculation!E47=Calculation!$A$140,Calculation!D47,"")</f>
        <v/>
      </c>
      <c r="D48" s="52" t="str">
        <f>IF(Calculation!E47=Calculation!$A$140,Calculation!C47,"")</f>
        <v/>
      </c>
      <c r="E48" s="52" t="str">
        <f>IF(Calculation!E47=Calculation!$A$140,Calculation!F47,"")</f>
        <v/>
      </c>
      <c r="F48" s="54" t="str">
        <f>IF(Calculation!E47=Calculation!$A$140,Calculation!G47,"")</f>
        <v/>
      </c>
      <c r="G48" s="54" t="str">
        <f>IF(Calculation!E47=Calculation!$A$140,Calculation!H47,"")</f>
        <v/>
      </c>
      <c r="H48" s="55"/>
    </row>
    <row r="49">
      <c r="A49" s="52" t="str">
        <f>IF(Calculation!E48=Calculation!$A$140,Calculation!B48,"")</f>
        <v/>
      </c>
      <c r="B49" s="53" t="str">
        <f>IF(Calculation!E48=Calculation!$A$140,Calculation!I48,"")</f>
        <v/>
      </c>
      <c r="C49" s="52" t="str">
        <f>IF(Calculation!E48=Calculation!$A$140,Calculation!D48,"")</f>
        <v/>
      </c>
      <c r="D49" s="52" t="str">
        <f>IF(Calculation!E48=Calculation!$A$140,Calculation!C48,"")</f>
        <v/>
      </c>
      <c r="E49" s="52" t="str">
        <f>IF(Calculation!E48=Calculation!$A$140,Calculation!F48,"")</f>
        <v/>
      </c>
      <c r="F49" s="54" t="str">
        <f>IF(Calculation!E48=Calculation!$A$140,Calculation!G48,"")</f>
        <v/>
      </c>
      <c r="G49" s="54" t="str">
        <f>IF(Calculation!E48=Calculation!$A$140,Calculation!H48,"")</f>
        <v/>
      </c>
      <c r="H49" s="55"/>
    </row>
    <row r="50">
      <c r="A50" s="52" t="str">
        <f>IF(Calculation!E49=Calculation!$A$140,Calculation!B49,"")</f>
        <v/>
      </c>
      <c r="B50" s="53" t="str">
        <f>IF(Calculation!E49=Calculation!$A$140,Calculation!I49,"")</f>
        <v/>
      </c>
      <c r="C50" s="52" t="str">
        <f>IF(Calculation!E49=Calculation!$A$140,Calculation!D49,"")</f>
        <v/>
      </c>
      <c r="D50" s="52" t="str">
        <f>IF(Calculation!E49=Calculation!$A$140,Calculation!C49,"")</f>
        <v/>
      </c>
      <c r="E50" s="52" t="str">
        <f>IF(Calculation!E49=Calculation!$A$140,Calculation!F49,"")</f>
        <v/>
      </c>
      <c r="F50" s="54" t="str">
        <f>IF(Calculation!E49=Calculation!$A$140,Calculation!G49,"")</f>
        <v/>
      </c>
      <c r="G50" s="54" t="str">
        <f>IF(Calculation!E49=Calculation!$A$140,Calculation!H49,"")</f>
        <v/>
      </c>
      <c r="H50" s="55"/>
    </row>
    <row r="51">
      <c r="A51" s="52" t="str">
        <f>IF(Calculation!E50=Calculation!$A$140,Calculation!B50,"")</f>
        <v/>
      </c>
      <c r="B51" s="53" t="str">
        <f>IF(Calculation!E50=Calculation!$A$140,Calculation!I50,"")</f>
        <v/>
      </c>
      <c r="C51" s="52" t="str">
        <f>IF(Calculation!E50=Calculation!$A$140,Calculation!D50,"")</f>
        <v/>
      </c>
      <c r="D51" s="52" t="str">
        <f>IF(Calculation!E50=Calculation!$A$140,Calculation!C50,"")</f>
        <v/>
      </c>
      <c r="E51" s="52" t="str">
        <f>IF(Calculation!E50=Calculation!$A$140,Calculation!F50,"")</f>
        <v/>
      </c>
      <c r="F51" s="54" t="str">
        <f>IF(Calculation!E50=Calculation!$A$140,Calculation!G50,"")</f>
        <v/>
      </c>
      <c r="G51" s="54" t="str">
        <f>IF(Calculation!E50=Calculation!$A$140,Calculation!H50,"")</f>
        <v/>
      </c>
      <c r="H51" s="55"/>
    </row>
    <row r="52">
      <c r="A52" s="52" t="str">
        <f>IF(Calculation!E51=Calculation!$A$140,Calculation!B51,"")</f>
        <v/>
      </c>
      <c r="B52" s="53" t="str">
        <f>IF(Calculation!E51=Calculation!$A$140,Calculation!I51,"")</f>
        <v/>
      </c>
      <c r="C52" s="52" t="str">
        <f>IF(Calculation!E51=Calculation!$A$140,Calculation!D51,"")</f>
        <v/>
      </c>
      <c r="D52" s="52" t="str">
        <f>IF(Calculation!E51=Calculation!$A$140,Calculation!C51,"")</f>
        <v/>
      </c>
      <c r="E52" s="52" t="str">
        <f>IF(Calculation!E51=Calculation!$A$140,Calculation!F51,"")</f>
        <v/>
      </c>
      <c r="F52" s="54" t="str">
        <f>IF(Calculation!E51=Calculation!$A$140,Calculation!G51,"")</f>
        <v/>
      </c>
      <c r="G52" s="54" t="str">
        <f>IF(Calculation!E51=Calculation!$A$140,Calculation!H51,"")</f>
        <v/>
      </c>
      <c r="H52" s="55"/>
    </row>
    <row r="53">
      <c r="A53" s="52" t="str">
        <f>IF(Calculation!E52=Calculation!$A$140,Calculation!B52,"")</f>
        <v/>
      </c>
      <c r="B53" s="53" t="str">
        <f>IF(Calculation!E52=Calculation!$A$140,Calculation!I52,"")</f>
        <v/>
      </c>
      <c r="C53" s="52" t="str">
        <f>IF(Calculation!E52=Calculation!$A$140,Calculation!D52,"")</f>
        <v/>
      </c>
      <c r="D53" s="52" t="str">
        <f>IF(Calculation!E52=Calculation!$A$140,Calculation!C52,"")</f>
        <v/>
      </c>
      <c r="E53" s="52" t="str">
        <f>IF(Calculation!E52=Calculation!$A$140,Calculation!F52,"")</f>
        <v/>
      </c>
      <c r="F53" s="54" t="str">
        <f>IF(Calculation!E52=Calculation!$A$140,Calculation!G52,"")</f>
        <v/>
      </c>
      <c r="G53" s="54" t="str">
        <f>IF(Calculation!E52=Calculation!$A$140,Calculation!H52,"")</f>
        <v/>
      </c>
      <c r="H53" s="55"/>
    </row>
    <row r="54">
      <c r="A54" s="52" t="str">
        <f>IF(Calculation!E53=Calculation!$A$140,Calculation!B53,"")</f>
        <v/>
      </c>
      <c r="B54" s="53" t="str">
        <f>IF(Calculation!E53=Calculation!$A$140,Calculation!I53,"")</f>
        <v/>
      </c>
      <c r="C54" s="52" t="str">
        <f>IF(Calculation!E53=Calculation!$A$140,Calculation!D53,"")</f>
        <v/>
      </c>
      <c r="D54" s="52" t="str">
        <f>IF(Calculation!E53=Calculation!$A$140,Calculation!C53,"")</f>
        <v/>
      </c>
      <c r="E54" s="52" t="str">
        <f>IF(Calculation!E53=Calculation!$A$140,Calculation!F53,"")</f>
        <v/>
      </c>
      <c r="F54" s="54" t="str">
        <f>IF(Calculation!E53=Calculation!$A$140,Calculation!G53,"")</f>
        <v/>
      </c>
      <c r="G54" s="54" t="str">
        <f>IF(Calculation!E53=Calculation!$A$140,Calculation!H53,"")</f>
        <v/>
      </c>
      <c r="H54" s="55"/>
    </row>
    <row r="55">
      <c r="A55" s="52" t="str">
        <f>IF(Calculation!E54=Calculation!$A$140,Calculation!B54,"")</f>
        <v/>
      </c>
      <c r="B55" s="53" t="str">
        <f>IF(Calculation!E54=Calculation!$A$140,Calculation!I54,"")</f>
        <v/>
      </c>
      <c r="C55" s="52" t="str">
        <f>IF(Calculation!E54=Calculation!$A$140,Calculation!D54,"")</f>
        <v/>
      </c>
      <c r="D55" s="52" t="str">
        <f>IF(Calculation!E54=Calculation!$A$140,Calculation!C54,"")</f>
        <v/>
      </c>
      <c r="E55" s="52" t="str">
        <f>IF(Calculation!E54=Calculation!$A$140,Calculation!F54,"")</f>
        <v/>
      </c>
      <c r="F55" s="54" t="str">
        <f>IF(Calculation!E54=Calculation!$A$140,Calculation!G54,"")</f>
        <v/>
      </c>
      <c r="G55" s="54" t="str">
        <f>IF(Calculation!E54=Calculation!$A$140,Calculation!H54,"")</f>
        <v/>
      </c>
      <c r="H55" s="55"/>
    </row>
    <row r="56">
      <c r="A56" s="52" t="str">
        <f>IF(Calculation!E55=Calculation!$A$140,Calculation!B55,"")</f>
        <v/>
      </c>
      <c r="B56" s="53" t="str">
        <f>IF(Calculation!E55=Calculation!$A$140,Calculation!I55,"")</f>
        <v/>
      </c>
      <c r="C56" s="52" t="str">
        <f>IF(Calculation!E55=Calculation!$A$140,Calculation!D55,"")</f>
        <v/>
      </c>
      <c r="D56" s="52" t="str">
        <f>IF(Calculation!E55=Calculation!$A$140,Calculation!C55,"")</f>
        <v/>
      </c>
      <c r="E56" s="52" t="str">
        <f>IF(Calculation!E55=Calculation!$A$140,Calculation!F55,"")</f>
        <v/>
      </c>
      <c r="F56" s="54" t="str">
        <f>IF(Calculation!E55=Calculation!$A$140,Calculation!G55,"")</f>
        <v/>
      </c>
      <c r="G56" s="54" t="str">
        <f>IF(Calculation!E55=Calculation!$A$140,Calculation!H55,"")</f>
        <v/>
      </c>
      <c r="H56" s="55"/>
    </row>
    <row r="57">
      <c r="A57" s="52" t="str">
        <f>IF(Calculation!E56=Calculation!$A$140,Calculation!B56,"")</f>
        <v/>
      </c>
      <c r="B57" s="53" t="str">
        <f>IF(Calculation!E56=Calculation!$A$140,Calculation!I56,"")</f>
        <v/>
      </c>
      <c r="C57" s="52" t="str">
        <f>IF(Calculation!E56=Calculation!$A$140,Calculation!D56,"")</f>
        <v/>
      </c>
      <c r="D57" s="52" t="str">
        <f>IF(Calculation!E56=Calculation!$A$140,Calculation!C56,"")</f>
        <v/>
      </c>
      <c r="E57" s="52" t="str">
        <f>IF(Calculation!E56=Calculation!$A$140,Calculation!F56,"")</f>
        <v/>
      </c>
      <c r="F57" s="54" t="str">
        <f>IF(Calculation!E56=Calculation!$A$140,Calculation!G56,"")</f>
        <v/>
      </c>
      <c r="G57" s="54" t="str">
        <f>IF(Calculation!E56=Calculation!$A$140,Calculation!H56,"")</f>
        <v/>
      </c>
      <c r="H57" s="55"/>
    </row>
    <row r="58">
      <c r="A58" s="52" t="str">
        <f>IF(Calculation!E57=Calculation!$A$140,Calculation!B57,"")</f>
        <v/>
      </c>
      <c r="B58" s="53" t="str">
        <f>IF(Calculation!E57=Calculation!$A$140,Calculation!I57,"")</f>
        <v/>
      </c>
      <c r="C58" s="52" t="str">
        <f>IF(Calculation!E57=Calculation!$A$140,Calculation!D57,"")</f>
        <v/>
      </c>
      <c r="D58" s="52" t="str">
        <f>IF(Calculation!E57=Calculation!$A$140,Calculation!C57,"")</f>
        <v/>
      </c>
      <c r="E58" s="52" t="str">
        <f>IF(Calculation!E57=Calculation!$A$140,Calculation!F57,"")</f>
        <v/>
      </c>
      <c r="F58" s="54" t="str">
        <f>IF(Calculation!E57=Calculation!$A$140,Calculation!G57,"")</f>
        <v/>
      </c>
      <c r="G58" s="54" t="str">
        <f>IF(Calculation!E57=Calculation!$A$140,Calculation!H57,"")</f>
        <v/>
      </c>
      <c r="H58" s="55"/>
    </row>
    <row r="59">
      <c r="A59" s="52" t="str">
        <f>IF(Calculation!E58=Calculation!$A$140,Calculation!B58,"")</f>
        <v/>
      </c>
      <c r="B59" s="53" t="str">
        <f>IF(Calculation!E58=Calculation!$A$140,Calculation!I58,"")</f>
        <v/>
      </c>
      <c r="C59" s="52" t="str">
        <f>IF(Calculation!E58=Calculation!$A$140,Calculation!D58,"")</f>
        <v/>
      </c>
      <c r="D59" s="52" t="str">
        <f>IF(Calculation!E58=Calculation!$A$140,Calculation!C58,"")</f>
        <v/>
      </c>
      <c r="E59" s="52" t="str">
        <f>IF(Calculation!E58=Calculation!$A$140,Calculation!F58,"")</f>
        <v/>
      </c>
      <c r="F59" s="54" t="str">
        <f>IF(Calculation!E58=Calculation!$A$140,Calculation!G58,"")</f>
        <v/>
      </c>
      <c r="G59" s="54" t="str">
        <f>IF(Calculation!E58=Calculation!$A$140,Calculation!H58,"")</f>
        <v/>
      </c>
      <c r="H59" s="55"/>
    </row>
    <row r="60">
      <c r="A60" s="52" t="str">
        <f>IF(Calculation!E59=Calculation!$A$140,Calculation!B59,"")</f>
        <v/>
      </c>
      <c r="B60" s="53" t="str">
        <f>IF(Calculation!E59=Calculation!$A$140,Calculation!I59,"")</f>
        <v/>
      </c>
      <c r="C60" s="52" t="str">
        <f>IF(Calculation!E59=Calculation!$A$140,Calculation!D59,"")</f>
        <v/>
      </c>
      <c r="D60" s="52" t="str">
        <f>IF(Calculation!E59=Calculation!$A$140,Calculation!C59,"")</f>
        <v/>
      </c>
      <c r="E60" s="52" t="str">
        <f>IF(Calculation!E59=Calculation!$A$140,Calculation!F59,"")</f>
        <v/>
      </c>
      <c r="F60" s="54" t="str">
        <f>IF(Calculation!E59=Calculation!$A$140,Calculation!G59,"")</f>
        <v/>
      </c>
      <c r="G60" s="54" t="str">
        <f>IF(Calculation!E59=Calculation!$A$140,Calculation!H59,"")</f>
        <v/>
      </c>
      <c r="H60" s="55"/>
    </row>
    <row r="61">
      <c r="A61" s="52" t="str">
        <f>IF(Calculation!E60=Calculation!$A$140,Calculation!B60,"")</f>
        <v/>
      </c>
      <c r="B61" s="53" t="str">
        <f>IF(Calculation!E60=Calculation!$A$140,Calculation!I60,"")</f>
        <v/>
      </c>
      <c r="C61" s="52" t="str">
        <f>IF(Calculation!E60=Calculation!$A$140,Calculation!D60,"")</f>
        <v/>
      </c>
      <c r="D61" s="52" t="str">
        <f>IF(Calculation!E60=Calculation!$A$140,Calculation!C60,"")</f>
        <v/>
      </c>
      <c r="E61" s="52" t="str">
        <f>IF(Calculation!E60=Calculation!$A$140,Calculation!F60,"")</f>
        <v/>
      </c>
      <c r="F61" s="54" t="str">
        <f>IF(Calculation!E60=Calculation!$A$140,Calculation!G60,"")</f>
        <v/>
      </c>
      <c r="G61" s="54" t="str">
        <f>IF(Calculation!E60=Calculation!$A$140,Calculation!H60,"")</f>
        <v/>
      </c>
      <c r="H61" s="55"/>
    </row>
    <row r="62">
      <c r="A62" s="52" t="str">
        <f>IF(Calculation!E61=Calculation!$A$140,Calculation!B61,"")</f>
        <v/>
      </c>
      <c r="B62" s="53" t="str">
        <f>IF(Calculation!E61=Calculation!$A$140,Calculation!I61,"")</f>
        <v/>
      </c>
      <c r="C62" s="52" t="str">
        <f>IF(Calculation!E61=Calculation!$A$140,Calculation!D61,"")</f>
        <v/>
      </c>
      <c r="D62" s="52" t="str">
        <f>IF(Calculation!E61=Calculation!$A$140,Calculation!C61,"")</f>
        <v/>
      </c>
      <c r="E62" s="52" t="str">
        <f>IF(Calculation!E61=Calculation!$A$140,Calculation!F61,"")</f>
        <v/>
      </c>
      <c r="F62" s="54" t="str">
        <f>IF(Calculation!E61=Calculation!$A$140,Calculation!G61,"")</f>
        <v/>
      </c>
      <c r="G62" s="54" t="str">
        <f>IF(Calculation!E61=Calculation!$A$140,Calculation!H61,"")</f>
        <v/>
      </c>
      <c r="H62" s="55"/>
    </row>
    <row r="63">
      <c r="A63" s="52" t="str">
        <f>IF(Calculation!E62=Calculation!$A$140,Calculation!B62,"")</f>
        <v/>
      </c>
      <c r="B63" s="53" t="str">
        <f>IF(Calculation!E62=Calculation!$A$140,Calculation!I62,"")</f>
        <v/>
      </c>
      <c r="C63" s="52" t="str">
        <f>IF(Calculation!E62=Calculation!$A$140,Calculation!D62,"")</f>
        <v/>
      </c>
      <c r="D63" s="52" t="str">
        <f>IF(Calculation!E62=Calculation!$A$140,Calculation!C62,"")</f>
        <v/>
      </c>
      <c r="E63" s="52" t="str">
        <f>IF(Calculation!E62=Calculation!$A$140,Calculation!F62,"")</f>
        <v/>
      </c>
      <c r="F63" s="54" t="str">
        <f>IF(Calculation!E62=Calculation!$A$140,Calculation!G62,"")</f>
        <v/>
      </c>
      <c r="G63" s="54" t="str">
        <f>IF(Calculation!E62=Calculation!$A$140,Calculation!H62,"")</f>
        <v/>
      </c>
      <c r="H63" s="55"/>
    </row>
    <row r="64">
      <c r="A64" s="52" t="str">
        <f>IF(Calculation!E63=Calculation!$A$140,Calculation!B63,"")</f>
        <v/>
      </c>
      <c r="B64" s="53" t="str">
        <f>IF(Calculation!E63=Calculation!$A$140,Calculation!I63,"")</f>
        <v/>
      </c>
      <c r="C64" s="52" t="str">
        <f>IF(Calculation!E63=Calculation!$A$140,Calculation!D63,"")</f>
        <v/>
      </c>
      <c r="D64" s="52" t="str">
        <f>IF(Calculation!E63=Calculation!$A$140,Calculation!C63,"")</f>
        <v/>
      </c>
      <c r="E64" s="52" t="str">
        <f>IF(Calculation!E63=Calculation!$A$140,Calculation!F63,"")</f>
        <v/>
      </c>
      <c r="F64" s="54" t="str">
        <f>IF(Calculation!E63=Calculation!$A$140,Calculation!G63,"")</f>
        <v/>
      </c>
      <c r="G64" s="54" t="str">
        <f>IF(Calculation!E63=Calculation!$A$140,Calculation!H63,"")</f>
        <v/>
      </c>
      <c r="H64" s="55"/>
    </row>
    <row r="65">
      <c r="A65" s="52" t="str">
        <f>IF(Calculation!E64=Calculation!$A$140,Calculation!B64,"")</f>
        <v/>
      </c>
      <c r="B65" s="53" t="str">
        <f>IF(Calculation!E64=Calculation!$A$140,Calculation!I64,"")</f>
        <v/>
      </c>
      <c r="C65" s="52" t="str">
        <f>IF(Calculation!E64=Calculation!$A$140,Calculation!D64,"")</f>
        <v/>
      </c>
      <c r="D65" s="52" t="str">
        <f>IF(Calculation!E64=Calculation!$A$140,Calculation!C64,"")</f>
        <v/>
      </c>
      <c r="E65" s="52" t="str">
        <f>IF(Calculation!E64=Calculation!$A$140,Calculation!F64,"")</f>
        <v/>
      </c>
      <c r="F65" s="54" t="str">
        <f>IF(Calculation!E64=Calculation!$A$140,Calculation!G64,"")</f>
        <v/>
      </c>
      <c r="G65" s="54" t="str">
        <f>IF(Calculation!E64=Calculation!$A$140,Calculation!H64,"")</f>
        <v/>
      </c>
      <c r="H65" s="55"/>
    </row>
    <row r="66">
      <c r="A66" s="52" t="str">
        <f>IF(Calculation!E65=Calculation!$A$140,Calculation!B65,"")</f>
        <v/>
      </c>
      <c r="B66" s="53" t="str">
        <f>IF(Calculation!E65=Calculation!$A$140,Calculation!I65,"")</f>
        <v/>
      </c>
      <c r="C66" s="52" t="str">
        <f>IF(Calculation!E65=Calculation!$A$140,Calculation!D65,"")</f>
        <v/>
      </c>
      <c r="D66" s="52" t="str">
        <f>IF(Calculation!E65=Calculation!$A$140,Calculation!C65,"")</f>
        <v/>
      </c>
      <c r="E66" s="52" t="str">
        <f>IF(Calculation!E65=Calculation!$A$140,Calculation!F65,"")</f>
        <v/>
      </c>
      <c r="F66" s="54" t="str">
        <f>IF(Calculation!E65=Calculation!$A$140,Calculation!G65,"")</f>
        <v/>
      </c>
      <c r="G66" s="54" t="str">
        <f>IF(Calculation!E65=Calculation!$A$140,Calculation!H65,"")</f>
        <v/>
      </c>
      <c r="H66" s="55"/>
    </row>
    <row r="67">
      <c r="A67" s="52" t="str">
        <f>IF(Calculation!E66=Calculation!$A$140,Calculation!B66,"")</f>
        <v/>
      </c>
      <c r="B67" s="53" t="str">
        <f>IF(Calculation!E66=Calculation!$A$140,Calculation!I66,"")</f>
        <v/>
      </c>
      <c r="C67" s="52" t="str">
        <f>IF(Calculation!E66=Calculation!$A$140,Calculation!D66,"")</f>
        <v/>
      </c>
      <c r="D67" s="52" t="str">
        <f>IF(Calculation!E66=Calculation!$A$140,Calculation!C66,"")</f>
        <v/>
      </c>
      <c r="E67" s="52" t="str">
        <f>IF(Calculation!E66=Calculation!$A$140,Calculation!F66,"")</f>
        <v/>
      </c>
      <c r="F67" s="54" t="str">
        <f>IF(Calculation!E66=Calculation!$A$140,Calculation!G66,"")</f>
        <v/>
      </c>
      <c r="G67" s="54" t="str">
        <f>IF(Calculation!E66=Calculation!$A$140,Calculation!H66,"")</f>
        <v/>
      </c>
      <c r="H67" s="55"/>
    </row>
    <row r="68">
      <c r="A68" s="52" t="str">
        <f>IF(Calculation!E67=Calculation!$A$140,Calculation!B67,"")</f>
        <v/>
      </c>
      <c r="B68" s="53" t="str">
        <f>IF(Calculation!E67=Calculation!$A$140,Calculation!I67,"")</f>
        <v/>
      </c>
      <c r="C68" s="52" t="str">
        <f>IF(Calculation!E67=Calculation!$A$140,Calculation!D67,"")</f>
        <v/>
      </c>
      <c r="D68" s="52" t="str">
        <f>IF(Calculation!E67=Calculation!$A$140,Calculation!C67,"")</f>
        <v/>
      </c>
      <c r="E68" s="52" t="str">
        <f>IF(Calculation!E67=Calculation!$A$140,Calculation!F67,"")</f>
        <v/>
      </c>
      <c r="F68" s="54" t="str">
        <f>IF(Calculation!E67=Calculation!$A$140,Calculation!G67,"")</f>
        <v/>
      </c>
      <c r="G68" s="54" t="str">
        <f>IF(Calculation!E67=Calculation!$A$140,Calculation!H67,"")</f>
        <v/>
      </c>
      <c r="H68" s="55"/>
    </row>
    <row r="69">
      <c r="A69" s="52" t="str">
        <f>IF(Calculation!E68=Calculation!$A$140,Calculation!B68,"")</f>
        <v/>
      </c>
      <c r="B69" s="53" t="str">
        <f>IF(Calculation!E68=Calculation!$A$140,Calculation!I68,"")</f>
        <v/>
      </c>
      <c r="C69" s="52" t="str">
        <f>IF(Calculation!E68=Calculation!$A$140,Calculation!D68,"")</f>
        <v/>
      </c>
      <c r="D69" s="52" t="str">
        <f>IF(Calculation!E68=Calculation!$A$140,Calculation!C68,"")</f>
        <v/>
      </c>
      <c r="E69" s="52" t="str">
        <f>IF(Calculation!E68=Calculation!$A$140,Calculation!F68,"")</f>
        <v/>
      </c>
      <c r="F69" s="54" t="str">
        <f>IF(Calculation!E68=Calculation!$A$140,Calculation!G68,"")</f>
        <v/>
      </c>
      <c r="G69" s="54" t="str">
        <f>IF(Calculation!E68=Calculation!$A$140,Calculation!H68,"")</f>
        <v/>
      </c>
      <c r="H69" s="55"/>
    </row>
    <row r="70">
      <c r="A70" s="52" t="str">
        <f>IF(Calculation!E69=Calculation!$A$140,Calculation!B69,"")</f>
        <v/>
      </c>
      <c r="B70" s="53" t="str">
        <f>IF(Calculation!E69=Calculation!$A$140,Calculation!I69,"")</f>
        <v/>
      </c>
      <c r="C70" s="52" t="str">
        <f>IF(Calculation!E69=Calculation!$A$140,Calculation!D69,"")</f>
        <v/>
      </c>
      <c r="D70" s="52" t="str">
        <f>IF(Calculation!E69=Calculation!$A$140,Calculation!C69,"")</f>
        <v/>
      </c>
      <c r="E70" s="52" t="str">
        <f>IF(Calculation!E69=Calculation!$A$140,Calculation!F69,"")</f>
        <v/>
      </c>
      <c r="F70" s="54" t="str">
        <f>IF(Calculation!E69=Calculation!$A$140,Calculation!G69,"")</f>
        <v/>
      </c>
      <c r="G70" s="54" t="str">
        <f>IF(Calculation!E69=Calculation!$A$140,Calculation!H69,"")</f>
        <v/>
      </c>
      <c r="H70" s="55"/>
    </row>
    <row r="71">
      <c r="A71" s="52" t="str">
        <f>IF(Calculation!E70=Calculation!$A$140,Calculation!B70,"")</f>
        <v/>
      </c>
      <c r="B71" s="53" t="str">
        <f>IF(Calculation!E70=Calculation!$A$140,Calculation!I70,"")</f>
        <v/>
      </c>
      <c r="C71" s="52" t="str">
        <f>IF(Calculation!E70=Calculation!$A$140,Calculation!D70,"")</f>
        <v/>
      </c>
      <c r="D71" s="52" t="str">
        <f>IF(Calculation!E70=Calculation!$A$140,Calculation!C70,"")</f>
        <v/>
      </c>
      <c r="E71" s="52" t="str">
        <f>IF(Calculation!E70=Calculation!$A$140,Calculation!F70,"")</f>
        <v/>
      </c>
      <c r="F71" s="54" t="str">
        <f>IF(Calculation!E70=Calculation!$A$140,Calculation!G70,"")</f>
        <v/>
      </c>
      <c r="G71" s="54" t="str">
        <f>IF(Calculation!E70=Calculation!$A$140,Calculation!H70,"")</f>
        <v/>
      </c>
      <c r="H71" s="55"/>
    </row>
    <row r="72">
      <c r="A72" s="52" t="str">
        <f>IF(Calculation!E71=Calculation!$A$140,Calculation!B71,"")</f>
        <v/>
      </c>
      <c r="B72" s="53" t="str">
        <f>IF(Calculation!E71=Calculation!$A$140,Calculation!I71,"")</f>
        <v/>
      </c>
      <c r="C72" s="52" t="str">
        <f>IF(Calculation!E71=Calculation!$A$140,Calculation!D71,"")</f>
        <v/>
      </c>
      <c r="D72" s="52" t="str">
        <f>IF(Calculation!E71=Calculation!$A$140,Calculation!C71,"")</f>
        <v/>
      </c>
      <c r="E72" s="52" t="str">
        <f>IF(Calculation!E71=Calculation!$A$140,Calculation!F71,"")</f>
        <v/>
      </c>
      <c r="F72" s="54" t="str">
        <f>IF(Calculation!E71=Calculation!$A$140,Calculation!G71,"")</f>
        <v/>
      </c>
      <c r="G72" s="54" t="str">
        <f>IF(Calculation!E71=Calculation!$A$140,Calculation!H71,"")</f>
        <v/>
      </c>
      <c r="H72" s="55"/>
    </row>
    <row r="73">
      <c r="A73" s="52" t="str">
        <f>IF(Calculation!E72=Calculation!$A$140,Calculation!B72,"")</f>
        <v/>
      </c>
      <c r="B73" s="53" t="str">
        <f>IF(Calculation!E72=Calculation!$A$140,Calculation!I72,"")</f>
        <v/>
      </c>
      <c r="C73" s="52" t="str">
        <f>IF(Calculation!E72=Calculation!$A$140,Calculation!D72,"")</f>
        <v/>
      </c>
      <c r="D73" s="52" t="str">
        <f>IF(Calculation!E72=Calculation!$A$140,Calculation!C72,"")</f>
        <v/>
      </c>
      <c r="E73" s="52" t="str">
        <f>IF(Calculation!E72=Calculation!$A$140,Calculation!F72,"")</f>
        <v/>
      </c>
      <c r="F73" s="54" t="str">
        <f>IF(Calculation!E72=Calculation!$A$140,Calculation!G72,"")</f>
        <v/>
      </c>
      <c r="G73" s="54" t="str">
        <f>IF(Calculation!E72=Calculation!$A$140,Calculation!H72,"")</f>
        <v/>
      </c>
      <c r="H73" s="55"/>
    </row>
    <row r="74">
      <c r="A74" s="52" t="str">
        <f>IF(Calculation!E73=Calculation!$A$140,Calculation!B73,"")</f>
        <v/>
      </c>
      <c r="B74" s="53" t="str">
        <f>IF(Calculation!E73=Calculation!$A$140,Calculation!I73,"")</f>
        <v/>
      </c>
      <c r="C74" s="52" t="str">
        <f>IF(Calculation!E73=Calculation!$A$140,Calculation!D73,"")</f>
        <v/>
      </c>
      <c r="D74" s="52" t="str">
        <f>IF(Calculation!E73=Calculation!$A$140,Calculation!C73,"")</f>
        <v/>
      </c>
      <c r="E74" s="52" t="str">
        <f>IF(Calculation!E73=Calculation!$A$140,Calculation!F73,"")</f>
        <v/>
      </c>
      <c r="F74" s="54" t="str">
        <f>IF(Calculation!E73=Calculation!$A$140,Calculation!G73,"")</f>
        <v/>
      </c>
      <c r="G74" s="54" t="str">
        <f>IF(Calculation!E73=Calculation!$A$140,Calculation!H73,"")</f>
        <v/>
      </c>
      <c r="H74" s="55"/>
    </row>
    <row r="75">
      <c r="A75" s="52" t="str">
        <f>IF(Calculation!E74=Calculation!$A$140,Calculation!B74,"")</f>
        <v/>
      </c>
      <c r="B75" s="53" t="str">
        <f>IF(Calculation!E74=Calculation!$A$140,Calculation!I74,"")</f>
        <v/>
      </c>
      <c r="C75" s="52" t="str">
        <f>IF(Calculation!E74=Calculation!$A$140,Calculation!D74,"")</f>
        <v/>
      </c>
      <c r="D75" s="52" t="str">
        <f>IF(Calculation!E74=Calculation!$A$140,Calculation!C74,"")</f>
        <v/>
      </c>
      <c r="E75" s="52" t="str">
        <f>IF(Calculation!E74=Calculation!$A$140,Calculation!F74,"")</f>
        <v/>
      </c>
      <c r="F75" s="54" t="str">
        <f>IF(Calculation!E74=Calculation!$A$140,Calculation!G74,"")</f>
        <v/>
      </c>
      <c r="G75" s="54" t="str">
        <f>IF(Calculation!E74=Calculation!$A$140,Calculation!H74,"")</f>
        <v/>
      </c>
      <c r="H75" s="55"/>
    </row>
    <row r="76">
      <c r="A76" s="52" t="str">
        <f>IF(Calculation!E75=Calculation!$A$140,Calculation!B75,"")</f>
        <v/>
      </c>
      <c r="B76" s="53" t="str">
        <f>IF(Calculation!E75=Calculation!$A$140,Calculation!I75,"")</f>
        <v/>
      </c>
      <c r="C76" s="52" t="str">
        <f>IF(Calculation!E75=Calculation!$A$140,Calculation!D75,"")</f>
        <v/>
      </c>
      <c r="D76" s="52" t="str">
        <f>IF(Calculation!E75=Calculation!$A$140,Calculation!C75,"")</f>
        <v/>
      </c>
      <c r="E76" s="52" t="str">
        <f>IF(Calculation!E75=Calculation!$A$140,Calculation!F75,"")</f>
        <v/>
      </c>
      <c r="F76" s="54" t="str">
        <f>IF(Calculation!E75=Calculation!$A$140,Calculation!G75,"")</f>
        <v/>
      </c>
      <c r="G76" s="54" t="str">
        <f>IF(Calculation!E75=Calculation!$A$140,Calculation!H75,"")</f>
        <v/>
      </c>
      <c r="H76" s="55"/>
    </row>
    <row r="77">
      <c r="A77" s="52" t="str">
        <f>IF(Calculation!E76=Calculation!$A$140,Calculation!B76,"")</f>
        <v/>
      </c>
      <c r="B77" s="53" t="str">
        <f>IF(Calculation!E76=Calculation!$A$140,Calculation!I76,"")</f>
        <v/>
      </c>
      <c r="C77" s="52" t="str">
        <f>IF(Calculation!E76=Calculation!$A$140,Calculation!D76,"")</f>
        <v/>
      </c>
      <c r="D77" s="52" t="str">
        <f>IF(Calculation!E76=Calculation!$A$140,Calculation!C76,"")</f>
        <v/>
      </c>
      <c r="E77" s="52" t="str">
        <f>IF(Calculation!E76=Calculation!$A$140,Calculation!F76,"")</f>
        <v/>
      </c>
      <c r="F77" s="54" t="str">
        <f>IF(Calculation!E76=Calculation!$A$140,Calculation!G76,"")</f>
        <v/>
      </c>
      <c r="G77" s="54" t="str">
        <f>IF(Calculation!E76=Calculation!$A$140,Calculation!H76,"")</f>
        <v/>
      </c>
      <c r="H77" s="55"/>
    </row>
    <row r="78" ht="22.5" customHeight="1">
      <c r="A78" s="52" t="str">
        <f>IF(Calculation!E77=Calculation!$A$140,Calculation!B77,"")</f>
        <v/>
      </c>
      <c r="B78" s="53" t="str">
        <f>IF(Calculation!E77=Calculation!$A$140,Calculation!I77,"")</f>
        <v/>
      </c>
      <c r="C78" s="52" t="str">
        <f>IF(Calculation!E77=Calculation!$A$140,Calculation!D77,"")</f>
        <v/>
      </c>
      <c r="D78" s="52" t="str">
        <f>IF(Calculation!E77=Calculation!$A$140,Calculation!C77,"")</f>
        <v/>
      </c>
      <c r="E78" s="52" t="str">
        <f>IF(Calculation!E77=Calculation!$A$140,Calculation!F77,"")</f>
        <v/>
      </c>
      <c r="F78" s="54" t="str">
        <f>IF(Calculation!E77=Calculation!$A$140,Calculation!G77,"")</f>
        <v/>
      </c>
      <c r="G78" s="54" t="str">
        <f>IF(Calculation!E77=Calculation!$A$140,Calculation!H77,"")</f>
        <v/>
      </c>
      <c r="H78" s="55"/>
    </row>
    <row r="79" ht="21.75" customHeight="1">
      <c r="A79" s="52" t="str">
        <f>IF(Calculation!E78=Calculation!$A$140,Calculation!B78,"")</f>
        <v/>
      </c>
      <c r="B79" s="53" t="str">
        <f>IF(Calculation!E78=Calculation!$A$140,Calculation!I78,"")</f>
        <v/>
      </c>
      <c r="C79" s="52" t="str">
        <f>IF(Calculation!E78=Calculation!$A$140,Calculation!D78,"")</f>
        <v/>
      </c>
      <c r="D79" s="52" t="str">
        <f>IF(Calculation!E78=Calculation!$A$140,Calculation!C78,"")</f>
        <v/>
      </c>
      <c r="E79" s="52" t="str">
        <f>IF(Calculation!E78=Calculation!$A$140,Calculation!F78,"")</f>
        <v/>
      </c>
      <c r="F79" s="54" t="str">
        <f>IF(Calculation!E78=Calculation!$A$140,Calculation!G78,"")</f>
        <v/>
      </c>
      <c r="G79" s="54" t="str">
        <f>IF(Calculation!E78=Calculation!$A$140,Calculation!H78,"")</f>
        <v/>
      </c>
      <c r="H79" s="55"/>
    </row>
    <row r="80" ht="24.0" customHeight="1">
      <c r="A80" s="52" t="str">
        <f>IF(Calculation!E79=Calculation!$A$140,Calculation!B79,"")</f>
        <v/>
      </c>
      <c r="B80" s="53" t="str">
        <f>IF(Calculation!E79=Calculation!$A$140,Calculation!I79,"")</f>
        <v/>
      </c>
      <c r="C80" s="52" t="str">
        <f>IF(Calculation!E79=Calculation!$A$140,Calculation!D79,"")</f>
        <v/>
      </c>
      <c r="D80" s="52" t="str">
        <f>IF(Calculation!E79=Calculation!$A$140,Calculation!C79,"")</f>
        <v/>
      </c>
      <c r="E80" s="52" t="str">
        <f>IF(Calculation!E79=Calculation!$A$140,Calculation!F79,"")</f>
        <v/>
      </c>
      <c r="F80" s="54" t="str">
        <f>IF(Calculation!E79=Calculation!$A$140,Calculation!G79,"")</f>
        <v/>
      </c>
      <c r="G80" s="54" t="str">
        <f>IF(Calculation!E79=Calculation!$A$140,Calculation!H79,"")</f>
        <v/>
      </c>
      <c r="H80" s="55"/>
    </row>
    <row r="81" ht="21.75" customHeight="1">
      <c r="A81" s="52" t="str">
        <f>IF(Calculation!E80=Calculation!$A$140,Calculation!B80,"")</f>
        <v/>
      </c>
      <c r="B81" s="53" t="str">
        <f>IF(Calculation!E80=Calculation!$A$140,Calculation!I80,"")</f>
        <v/>
      </c>
      <c r="C81" s="52" t="str">
        <f>IF(Calculation!E80=Calculation!$A$140,Calculation!D80,"")</f>
        <v/>
      </c>
      <c r="D81" s="52" t="str">
        <f>IF(Calculation!E80=Calculation!$A$140,Calculation!C80,"")</f>
        <v/>
      </c>
      <c r="E81" s="52" t="str">
        <f>IF(Calculation!E80=Calculation!$A$140,Calculation!F80,"")</f>
        <v/>
      </c>
      <c r="F81" s="54" t="str">
        <f>IF(Calculation!E80=Calculation!$A$140,Calculation!G80,"")</f>
        <v/>
      </c>
      <c r="G81" s="54" t="str">
        <f>IF(Calculation!E80=Calculation!$A$140,Calculation!H80,"")</f>
        <v/>
      </c>
      <c r="H81" s="55"/>
    </row>
    <row r="82" ht="20.25" customHeight="1">
      <c r="A82" s="52" t="str">
        <f>IF(Calculation!E81=Calculation!$A$140,Calculation!B81,"")</f>
        <v/>
      </c>
      <c r="B82" s="53" t="str">
        <f>IF(Calculation!E81=Calculation!$A$140,Calculation!I81,"")</f>
        <v/>
      </c>
      <c r="C82" s="52" t="str">
        <f>IF(Calculation!E81=Calculation!$A$140,Calculation!D81,"")</f>
        <v/>
      </c>
      <c r="D82" s="52" t="str">
        <f>IF(Calculation!E81=Calculation!$A$140,Calculation!C81,"")</f>
        <v/>
      </c>
      <c r="E82" s="52" t="str">
        <f>IF(Calculation!E81=Calculation!$A$140,Calculation!F81,"")</f>
        <v/>
      </c>
      <c r="F82" s="54" t="str">
        <f>IF(Calculation!E81=Calculation!$A$140,Calculation!G81,"")</f>
        <v/>
      </c>
      <c r="G82" s="54" t="str">
        <f>IF(Calculation!E81=Calculation!$A$140,Calculation!H81,"")</f>
        <v/>
      </c>
      <c r="H82" s="55"/>
    </row>
    <row r="83">
      <c r="A83" s="52" t="str">
        <f>IF(Calculation!E82=Calculation!$A$140,Calculation!B82,"")</f>
        <v/>
      </c>
      <c r="B83" s="53" t="str">
        <f>IF(Calculation!E82=Calculation!$A$140,Calculation!I82,"")</f>
        <v/>
      </c>
      <c r="C83" s="52" t="str">
        <f>IF(Calculation!E82=Calculation!$A$140,Calculation!D82,"")</f>
        <v/>
      </c>
      <c r="D83" s="52" t="str">
        <f>IF(Calculation!E82=Calculation!$A$140,Calculation!C82,"")</f>
        <v/>
      </c>
      <c r="E83" s="52" t="str">
        <f>IF(Calculation!E82=Calculation!$A$140,Calculation!F82,"")</f>
        <v/>
      </c>
      <c r="F83" s="54" t="str">
        <f>IF(Calculation!E82=Calculation!$A$140,Calculation!G82,"")</f>
        <v/>
      </c>
      <c r="G83" s="54" t="str">
        <f>IF(Calculation!E82=Calculation!$A$140,Calculation!H82,"")</f>
        <v/>
      </c>
      <c r="H83" s="55"/>
    </row>
    <row r="84">
      <c r="A84" s="52" t="str">
        <f>IF(Calculation!E83=Calculation!$A$140,Calculation!B83,"")</f>
        <v/>
      </c>
      <c r="B84" s="53" t="str">
        <f>IF(Calculation!E83=Calculation!$A$140,Calculation!I83,"")</f>
        <v/>
      </c>
      <c r="C84" s="52" t="str">
        <f>IF(Calculation!E83=Calculation!$A$140,Calculation!D83,"")</f>
        <v/>
      </c>
      <c r="D84" s="52" t="str">
        <f>IF(Calculation!E83=Calculation!$A$140,Calculation!C83,"")</f>
        <v/>
      </c>
      <c r="E84" s="52" t="str">
        <f>IF(Calculation!E83=Calculation!$A$140,Calculation!F83,"")</f>
        <v/>
      </c>
      <c r="F84" s="54" t="str">
        <f>IF(Calculation!E83=Calculation!$A$140,Calculation!G83,"")</f>
        <v/>
      </c>
      <c r="G84" s="54" t="str">
        <f>IF(Calculation!E83=Calculation!$A$140,Calculation!H83,"")</f>
        <v/>
      </c>
      <c r="H84" s="55"/>
    </row>
    <row r="85">
      <c r="A85" s="52" t="str">
        <f>IF(Calculation!E84=Calculation!$A$140,Calculation!B84,"")</f>
        <v/>
      </c>
      <c r="B85" s="53" t="str">
        <f>IF(Calculation!E84=Calculation!$A$140,Calculation!I84,"")</f>
        <v/>
      </c>
      <c r="C85" s="52" t="str">
        <f>IF(Calculation!E84=Calculation!$A$140,Calculation!D84,"")</f>
        <v/>
      </c>
      <c r="D85" s="52" t="str">
        <f>IF(Calculation!E84=Calculation!$A$140,Calculation!C84,"")</f>
        <v/>
      </c>
      <c r="E85" s="52" t="str">
        <f>IF(Calculation!E84=Calculation!$A$140,Calculation!F84,"")</f>
        <v/>
      </c>
      <c r="F85" s="54" t="str">
        <f>IF(Calculation!E84=Calculation!$A$140,Calculation!G84,"")</f>
        <v/>
      </c>
      <c r="G85" s="54" t="str">
        <f>IF(Calculation!E84=Calculation!$A$140,Calculation!H84,"")</f>
        <v/>
      </c>
      <c r="H85" s="55"/>
    </row>
    <row r="86">
      <c r="A86" s="52" t="str">
        <f>IF(Calculation!E85=Calculation!$A$140,Calculation!B85,"")</f>
        <v/>
      </c>
      <c r="B86" s="53" t="str">
        <f>IF(Calculation!E85=Calculation!$A$140,Calculation!I85,"")</f>
        <v/>
      </c>
      <c r="C86" s="52" t="str">
        <f>IF(Calculation!E85=Calculation!$A$140,Calculation!D85,"")</f>
        <v/>
      </c>
      <c r="D86" s="52" t="str">
        <f>IF(Calculation!E85=Calculation!$A$140,Calculation!C85,"")</f>
        <v/>
      </c>
      <c r="E86" s="52" t="str">
        <f>IF(Calculation!E85=Calculation!$A$140,Calculation!F85,"")</f>
        <v/>
      </c>
      <c r="F86" s="54" t="str">
        <f>IF(Calculation!E85=Calculation!$A$140,Calculation!G85,"")</f>
        <v/>
      </c>
      <c r="G86" s="54" t="str">
        <f>IF(Calculation!E85=Calculation!$A$140,Calculation!H85,"")</f>
        <v/>
      </c>
      <c r="H86" s="55"/>
    </row>
    <row r="87">
      <c r="A87" s="52" t="str">
        <f>IF(Calculation!E86=Calculation!$A$140,Calculation!B86,"")</f>
        <v/>
      </c>
      <c r="B87" s="53" t="str">
        <f>IF(Calculation!E86=Calculation!$A$140,Calculation!I86,"")</f>
        <v/>
      </c>
      <c r="C87" s="52" t="str">
        <f>IF(Calculation!E86=Calculation!$A$140,Calculation!D86,"")</f>
        <v/>
      </c>
      <c r="D87" s="52" t="str">
        <f>IF(Calculation!E86=Calculation!$A$140,Calculation!C86,"")</f>
        <v/>
      </c>
      <c r="E87" s="52" t="str">
        <f>IF(Calculation!E86=Calculation!$A$140,Calculation!F86,"")</f>
        <v/>
      </c>
      <c r="F87" s="54" t="str">
        <f>IF(Calculation!E86=Calculation!$A$140,Calculation!G86,"")</f>
        <v/>
      </c>
      <c r="G87" s="54" t="str">
        <f>IF(Calculation!E86=Calculation!$A$140,Calculation!H86,"")</f>
        <v/>
      </c>
      <c r="H87" s="55"/>
    </row>
    <row r="88">
      <c r="A88" s="52" t="str">
        <f>IF(Calculation!E87=Calculation!$A$140,Calculation!B87,"")</f>
        <v/>
      </c>
      <c r="B88" s="53" t="str">
        <f>IF(Calculation!E87=Calculation!$A$140,Calculation!I87,"")</f>
        <v/>
      </c>
      <c r="C88" s="52" t="str">
        <f>IF(Calculation!E87=Calculation!$A$140,Calculation!D87,"")</f>
        <v/>
      </c>
      <c r="D88" s="52" t="str">
        <f>IF(Calculation!E87=Calculation!$A$140,Calculation!C87,"")</f>
        <v/>
      </c>
      <c r="E88" s="52" t="str">
        <f>IF(Calculation!E87=Calculation!$A$140,Calculation!F87,"")</f>
        <v/>
      </c>
      <c r="F88" s="54" t="str">
        <f>IF(Calculation!E87=Calculation!$A$140,Calculation!G87,"")</f>
        <v/>
      </c>
      <c r="G88" s="54" t="str">
        <f>IF(Calculation!E87=Calculation!$A$140,Calculation!H87,"")</f>
        <v/>
      </c>
      <c r="H88" s="55"/>
    </row>
    <row r="89">
      <c r="A89" s="52" t="str">
        <f>IF(Calculation!E88=Calculation!$A$140,Calculation!B88,"")</f>
        <v/>
      </c>
      <c r="B89" s="53" t="str">
        <f>IF(Calculation!E88=Calculation!$A$140,Calculation!I88,"")</f>
        <v/>
      </c>
      <c r="C89" s="52" t="str">
        <f>IF(Calculation!E88=Calculation!$A$140,Calculation!D88,"")</f>
        <v/>
      </c>
      <c r="D89" s="52" t="str">
        <f>IF(Calculation!E88=Calculation!$A$140,Calculation!C88,"")</f>
        <v/>
      </c>
      <c r="E89" s="52" t="str">
        <f>IF(Calculation!E88=Calculation!$A$140,Calculation!F88,"")</f>
        <v/>
      </c>
      <c r="F89" s="54" t="str">
        <f>IF(Calculation!E88=Calculation!$A$140,Calculation!G88,"")</f>
        <v/>
      </c>
      <c r="G89" s="54" t="str">
        <f>IF(Calculation!E88=Calculation!$A$140,Calculation!H88,"")</f>
        <v/>
      </c>
      <c r="H89" s="55"/>
    </row>
    <row r="90">
      <c r="A90" s="52" t="str">
        <f>IF(Calculation!E89=Calculation!$A$140,Calculation!B89,"")</f>
        <v/>
      </c>
      <c r="B90" s="53" t="str">
        <f>IF(Calculation!E89=Calculation!$A$140,Calculation!I89,"")</f>
        <v/>
      </c>
      <c r="C90" s="52" t="str">
        <f>IF(Calculation!E89=Calculation!$A$140,Calculation!D89,"")</f>
        <v/>
      </c>
      <c r="D90" s="52" t="str">
        <f>IF(Calculation!E89=Calculation!$A$140,Calculation!C89,"")</f>
        <v/>
      </c>
      <c r="E90" s="52" t="str">
        <f>IF(Calculation!E89=Calculation!$A$140,Calculation!F89,"")</f>
        <v/>
      </c>
      <c r="F90" s="54" t="str">
        <f>IF(Calculation!E89=Calculation!$A$140,Calculation!G89,"")</f>
        <v/>
      </c>
      <c r="G90" s="54" t="str">
        <f>IF(Calculation!E89=Calculation!$A$140,Calculation!H89,"")</f>
        <v/>
      </c>
      <c r="H90" s="55"/>
    </row>
    <row r="91">
      <c r="A91" s="52" t="str">
        <f>IF(Calculation!E90=Calculation!$A$140,Calculation!B90,"")</f>
        <v/>
      </c>
      <c r="B91" s="53" t="str">
        <f>IF(Calculation!E90=Calculation!$A$140,Calculation!I90,"")</f>
        <v/>
      </c>
      <c r="C91" s="52" t="str">
        <f>IF(Calculation!E90=Calculation!$A$140,Calculation!D90,"")</f>
        <v/>
      </c>
      <c r="D91" s="52" t="str">
        <f>IF(Calculation!E90=Calculation!$A$140,Calculation!C90,"")</f>
        <v/>
      </c>
      <c r="E91" s="52" t="str">
        <f>IF(Calculation!E90=Calculation!$A$140,Calculation!F90,"")</f>
        <v/>
      </c>
      <c r="F91" s="54" t="str">
        <f>IF(Calculation!E90=Calculation!$A$140,Calculation!G90,"")</f>
        <v/>
      </c>
      <c r="G91" s="54" t="str">
        <f>IF(Calculation!E90=Calculation!$A$140,Calculation!H90,"")</f>
        <v/>
      </c>
      <c r="H91" s="55"/>
    </row>
    <row r="92">
      <c r="A92" s="52" t="str">
        <f>IF(Calculation!E91=Calculation!$A$140,Calculation!B91,"")</f>
        <v/>
      </c>
      <c r="B92" s="53" t="str">
        <f>IF(Calculation!E91=Calculation!$A$140,Calculation!I91,"")</f>
        <v/>
      </c>
      <c r="C92" s="52" t="str">
        <f>IF(Calculation!E91=Calculation!$A$140,Calculation!D91,"")</f>
        <v/>
      </c>
      <c r="D92" s="52" t="str">
        <f>IF(Calculation!E91=Calculation!$A$140,Calculation!C91,"")</f>
        <v/>
      </c>
      <c r="E92" s="52" t="str">
        <f>IF(Calculation!E91=Calculation!$A$140,Calculation!F91,"")</f>
        <v/>
      </c>
      <c r="F92" s="54" t="str">
        <f>IF(Calculation!E91=Calculation!$A$140,Calculation!G91,"")</f>
        <v/>
      </c>
      <c r="G92" s="54" t="str">
        <f>IF(Calculation!E91=Calculation!$A$140,Calculation!H91,"")</f>
        <v/>
      </c>
      <c r="H92" s="55"/>
    </row>
    <row r="93">
      <c r="A93" s="52" t="str">
        <f>IF(Calculation!E92=Calculation!$A$140,Calculation!B92,"")</f>
        <v/>
      </c>
      <c r="B93" s="53" t="str">
        <f>IF(Calculation!E92=Calculation!$A$140,Calculation!I92,"")</f>
        <v/>
      </c>
      <c r="C93" s="52" t="str">
        <f>IF(Calculation!E92=Calculation!$A$140,Calculation!D92,"")</f>
        <v/>
      </c>
      <c r="D93" s="52" t="str">
        <f>IF(Calculation!E92=Calculation!$A$140,Calculation!C92,"")</f>
        <v/>
      </c>
      <c r="E93" s="52" t="str">
        <f>IF(Calculation!E92=Calculation!$A$140,Calculation!F92,"")</f>
        <v/>
      </c>
      <c r="F93" s="54" t="str">
        <f>IF(Calculation!E92=Calculation!$A$140,Calculation!G92,"")</f>
        <v/>
      </c>
      <c r="G93" s="54" t="str">
        <f>IF(Calculation!E92=Calculation!$A$140,Calculation!H92,"")</f>
        <v/>
      </c>
      <c r="H93" s="55"/>
    </row>
    <row r="94">
      <c r="A94" s="52" t="str">
        <f>IF(Calculation!E93=Calculation!$A$140,Calculation!B93,"")</f>
        <v/>
      </c>
      <c r="B94" s="53" t="str">
        <f>IF(Calculation!E93=Calculation!$A$140,Calculation!I93,"")</f>
        <v/>
      </c>
      <c r="C94" s="52" t="str">
        <f>IF(Calculation!E93=Calculation!$A$140,Calculation!D93,"")</f>
        <v/>
      </c>
      <c r="D94" s="52" t="str">
        <f>IF(Calculation!E93=Calculation!$A$140,Calculation!C93,"")</f>
        <v/>
      </c>
      <c r="E94" s="52" t="str">
        <f>IF(Calculation!E93=Calculation!$A$140,Calculation!F93,"")</f>
        <v/>
      </c>
      <c r="F94" s="54" t="str">
        <f>IF(Calculation!E93=Calculation!$A$140,Calculation!G93,"")</f>
        <v/>
      </c>
      <c r="G94" s="54" t="str">
        <f>IF(Calculation!E93=Calculation!$A$140,Calculation!H93,"")</f>
        <v/>
      </c>
      <c r="H94" s="55"/>
    </row>
    <row r="95">
      <c r="A95" s="52" t="str">
        <f>IF(Calculation!E94=Calculation!$A$140,Calculation!B94,"")</f>
        <v/>
      </c>
      <c r="B95" s="53" t="str">
        <f>IF(Calculation!E94=Calculation!$A$140,Calculation!I94,"")</f>
        <v/>
      </c>
      <c r="C95" s="52" t="str">
        <f>IF(Calculation!E94=Calculation!$A$140,Calculation!D94,"")</f>
        <v/>
      </c>
      <c r="D95" s="52" t="str">
        <f>IF(Calculation!E94=Calculation!$A$140,Calculation!C94,"")</f>
        <v/>
      </c>
      <c r="E95" s="52" t="str">
        <f>IF(Calculation!E94=Calculation!$A$140,Calculation!F94,"")</f>
        <v/>
      </c>
      <c r="F95" s="54" t="str">
        <f>IF(Calculation!E94=Calculation!$A$140,Calculation!G94,"")</f>
        <v/>
      </c>
      <c r="G95" s="54" t="str">
        <f>IF(Calculation!E94=Calculation!$A$140,Calculation!H94,"")</f>
        <v/>
      </c>
      <c r="H95" s="55"/>
    </row>
    <row r="96">
      <c r="A96" s="52" t="str">
        <f>IF(Calculation!E95=Calculation!$A$140,Calculation!B95,"")</f>
        <v/>
      </c>
      <c r="B96" s="53" t="str">
        <f>IF(Calculation!E95=Calculation!$A$140,Calculation!I95,"")</f>
        <v/>
      </c>
      <c r="C96" s="52" t="str">
        <f>IF(Calculation!E95=Calculation!$A$140,Calculation!D95,"")</f>
        <v/>
      </c>
      <c r="D96" s="52" t="str">
        <f>IF(Calculation!E95=Calculation!$A$140,Calculation!C95,"")</f>
        <v/>
      </c>
      <c r="E96" s="52" t="str">
        <f>IF(Calculation!E95=Calculation!$A$140,Calculation!F95,"")</f>
        <v/>
      </c>
      <c r="F96" s="54" t="str">
        <f>IF(Calculation!E95=Calculation!$A$140,Calculation!G95,"")</f>
        <v/>
      </c>
      <c r="G96" s="54" t="str">
        <f>IF(Calculation!E95=Calculation!$A$140,Calculation!H95,"")</f>
        <v/>
      </c>
      <c r="H96" s="55"/>
    </row>
    <row r="97">
      <c r="A97" s="52" t="str">
        <f>IF(Calculation!E96=Calculation!$A$140,Calculation!B96,"")</f>
        <v/>
      </c>
      <c r="B97" s="53" t="str">
        <f>IF(Calculation!E96=Calculation!$A$140,Calculation!I96,"")</f>
        <v/>
      </c>
      <c r="C97" s="52" t="str">
        <f>IF(Calculation!E96=Calculation!$A$140,Calculation!D96,"")</f>
        <v/>
      </c>
      <c r="D97" s="52" t="str">
        <f>IF(Calculation!E96=Calculation!$A$140,Calculation!C96,"")</f>
        <v/>
      </c>
      <c r="E97" s="52" t="str">
        <f>IF(Calculation!E96=Calculation!$A$140,Calculation!F96,"")</f>
        <v/>
      </c>
      <c r="F97" s="54" t="str">
        <f>IF(Calculation!E96=Calculation!$A$140,Calculation!G96,"")</f>
        <v/>
      </c>
      <c r="G97" s="54" t="str">
        <f>IF(Calculation!E96=Calculation!$A$140,Calculation!H96,"")</f>
        <v/>
      </c>
      <c r="H97" s="55"/>
    </row>
    <row r="98">
      <c r="A98" s="52" t="str">
        <f>IF(Calculation!E97=Calculation!$A$140,Calculation!B97,"")</f>
        <v/>
      </c>
      <c r="B98" s="53" t="str">
        <f>IF(Calculation!E97=Calculation!$A$140,Calculation!I97,"")</f>
        <v/>
      </c>
      <c r="C98" s="52" t="str">
        <f>IF(Calculation!E97=Calculation!$A$140,Calculation!D97,"")</f>
        <v/>
      </c>
      <c r="D98" s="52" t="str">
        <f>IF(Calculation!E97=Calculation!$A$140,Calculation!C97,"")</f>
        <v/>
      </c>
      <c r="E98" s="52" t="str">
        <f>IF(Calculation!E97=Calculation!$A$140,Calculation!F97,"")</f>
        <v/>
      </c>
      <c r="F98" s="54" t="str">
        <f>IF(Calculation!E97=Calculation!$A$140,Calculation!G97,"")</f>
        <v/>
      </c>
      <c r="G98" s="54" t="str">
        <f>IF(Calculation!E97=Calculation!$A$140,Calculation!H97,"")</f>
        <v/>
      </c>
      <c r="H98" s="55"/>
    </row>
    <row r="99">
      <c r="A99" s="52" t="str">
        <f>IF(Calculation!E98=Calculation!$A$140,Calculation!B98,"")</f>
        <v/>
      </c>
      <c r="B99" s="53" t="str">
        <f>IF(Calculation!E98=Calculation!$A$140,Calculation!I98,"")</f>
        <v/>
      </c>
      <c r="C99" s="52" t="str">
        <f>IF(Calculation!E98=Calculation!$A$140,Calculation!D98,"")</f>
        <v/>
      </c>
      <c r="D99" s="52" t="str">
        <f>IF(Calculation!E98=Calculation!$A$140,Calculation!C98,"")</f>
        <v/>
      </c>
      <c r="E99" s="52" t="str">
        <f>IF(Calculation!E98=Calculation!$A$140,Calculation!F98,"")</f>
        <v/>
      </c>
      <c r="F99" s="54" t="str">
        <f>IF(Calculation!E98=Calculation!$A$140,Calculation!G98,"")</f>
        <v/>
      </c>
      <c r="G99" s="54" t="str">
        <f>IF(Calculation!E98=Calculation!$A$140,Calculation!H98,"")</f>
        <v/>
      </c>
      <c r="H99" s="55"/>
    </row>
    <row r="100">
      <c r="A100" s="52" t="str">
        <f>IF(Calculation!E99=Calculation!$A$140,Calculation!B99,"")</f>
        <v/>
      </c>
      <c r="B100" s="53" t="str">
        <f>IF(Calculation!E99=Calculation!$A$140,Calculation!I99,"")</f>
        <v/>
      </c>
      <c r="C100" s="52" t="str">
        <f>IF(Calculation!E99=Calculation!$A$140,Calculation!D99,"")</f>
        <v/>
      </c>
      <c r="D100" s="52" t="str">
        <f>IF(Calculation!E99=Calculation!$A$140,Calculation!C99,"")</f>
        <v/>
      </c>
      <c r="E100" s="52" t="str">
        <f>IF(Calculation!E99=Calculation!$A$140,Calculation!F99,"")</f>
        <v/>
      </c>
      <c r="F100" s="54" t="str">
        <f>IF(Calculation!E99=Calculation!$A$140,Calculation!G99,"")</f>
        <v/>
      </c>
      <c r="G100" s="54" t="str">
        <f>IF(Calculation!E99=Calculation!$A$140,Calculation!H99,"")</f>
        <v/>
      </c>
      <c r="H100" s="55"/>
    </row>
    <row r="101">
      <c r="A101" s="52" t="str">
        <f>IF(Calculation!E100=Calculation!$A$140,Calculation!B100,"")</f>
        <v/>
      </c>
      <c r="B101" s="53" t="str">
        <f>IF(Calculation!E100=Calculation!$A$140,Calculation!I100,"")</f>
        <v/>
      </c>
      <c r="C101" s="52" t="str">
        <f>IF(Calculation!E100=Calculation!$A$140,Calculation!D100,"")</f>
        <v/>
      </c>
      <c r="D101" s="52" t="str">
        <f>IF(Calculation!E100=Calculation!$A$140,Calculation!C100,"")</f>
        <v/>
      </c>
      <c r="E101" s="52" t="str">
        <f>IF(Calculation!E100=Calculation!$A$140,Calculation!F100,"")</f>
        <v/>
      </c>
      <c r="F101" s="54" t="str">
        <f>IF(Calculation!E100=Calculation!$A$140,Calculation!G100,"")</f>
        <v/>
      </c>
      <c r="G101" s="54" t="str">
        <f>IF(Calculation!E100=Calculation!$A$140,Calculation!H100,"")</f>
        <v/>
      </c>
      <c r="H101" s="55"/>
    </row>
    <row r="102">
      <c r="A102" s="52" t="str">
        <f>IF(Calculation!E101=Calculation!$A$140,Calculation!B101,"")</f>
        <v/>
      </c>
      <c r="B102" s="53" t="str">
        <f>IF(Calculation!E101=Calculation!$A$140,Calculation!I101,"")</f>
        <v/>
      </c>
      <c r="C102" s="52" t="str">
        <f>IF(Calculation!E101=Calculation!$A$140,Calculation!D101,"")</f>
        <v/>
      </c>
      <c r="D102" s="52" t="str">
        <f>IF(Calculation!E101=Calculation!$A$140,Calculation!C101,"")</f>
        <v/>
      </c>
      <c r="E102" s="52" t="str">
        <f>IF(Calculation!E101=Calculation!$A$140,Calculation!F101,"")</f>
        <v/>
      </c>
      <c r="F102" s="54" t="str">
        <f>IF(Calculation!E101=Calculation!$A$140,Calculation!G101,"")</f>
        <v/>
      </c>
      <c r="G102" s="54" t="str">
        <f>IF(Calculation!E101=Calculation!$A$140,Calculation!H101,"")</f>
        <v/>
      </c>
      <c r="H102" s="55"/>
    </row>
    <row r="103">
      <c r="A103" s="52" t="str">
        <f>IF(Calculation!E102=Calculation!$A$140,Calculation!B102,"")</f>
        <v/>
      </c>
      <c r="B103" s="53" t="str">
        <f>IF(Calculation!E102=Calculation!$A$140,Calculation!I102,"")</f>
        <v/>
      </c>
      <c r="C103" s="52" t="str">
        <f>IF(Calculation!E102=Calculation!$A$140,Calculation!D102,"")</f>
        <v/>
      </c>
      <c r="D103" s="52" t="str">
        <f>IF(Calculation!E102=Calculation!$A$140,Calculation!C102,"")</f>
        <v/>
      </c>
      <c r="E103" s="52" t="str">
        <f>IF(Calculation!E102=Calculation!$A$140,Calculation!F102,"")</f>
        <v/>
      </c>
      <c r="F103" s="54" t="str">
        <f>IF(Calculation!E102=Calculation!$A$140,Calculation!G102,"")</f>
        <v/>
      </c>
      <c r="G103" s="54" t="str">
        <f>IF(Calculation!E102=Calculation!$A$140,Calculation!H102,"")</f>
        <v/>
      </c>
      <c r="H103" s="55"/>
    </row>
    <row r="104">
      <c r="A104" s="52" t="str">
        <f>IF(Calculation!E103=Calculation!$A$140,Calculation!B103,"")</f>
        <v/>
      </c>
      <c r="B104" s="53" t="str">
        <f>IF(Calculation!E103=Calculation!$A$140,Calculation!I103,"")</f>
        <v/>
      </c>
      <c r="C104" s="52" t="str">
        <f>IF(Calculation!E103=Calculation!$A$140,Calculation!D103,"")</f>
        <v/>
      </c>
      <c r="D104" s="52" t="str">
        <f>IF(Calculation!E103=Calculation!$A$140,Calculation!C103,"")</f>
        <v/>
      </c>
      <c r="E104" s="52" t="str">
        <f>IF(Calculation!E103=Calculation!$A$140,Calculation!F103,"")</f>
        <v/>
      </c>
      <c r="F104" s="54" t="str">
        <f>IF(Calculation!E103=Calculation!$A$140,Calculation!G103,"")</f>
        <v/>
      </c>
      <c r="G104" s="54" t="str">
        <f>IF(Calculation!E103=Calculation!$A$140,Calculation!H103,"")</f>
        <v/>
      </c>
      <c r="H104" s="55"/>
    </row>
    <row r="105">
      <c r="A105" s="52" t="str">
        <f>IF(Calculation!E104=Calculation!$A$140,Calculation!B104,"")</f>
        <v/>
      </c>
      <c r="B105" s="53" t="str">
        <f>IF(Calculation!E104=Calculation!$A$140,Calculation!I104,"")</f>
        <v/>
      </c>
      <c r="C105" s="52" t="str">
        <f>IF(Calculation!E104=Calculation!$A$140,Calculation!D104,"")</f>
        <v/>
      </c>
      <c r="D105" s="52" t="str">
        <f>IF(Calculation!E104=Calculation!$A$140,Calculation!C104,"")</f>
        <v/>
      </c>
      <c r="E105" s="52" t="str">
        <f>IF(Calculation!E104=Calculation!$A$140,Calculation!F104,"")</f>
        <v/>
      </c>
      <c r="F105" s="54" t="str">
        <f>IF(Calculation!E104=Calculation!$A$140,Calculation!G104,"")</f>
        <v/>
      </c>
      <c r="G105" s="54" t="str">
        <f>IF(Calculation!E104=Calculation!$A$140,Calculation!H104,"")</f>
        <v/>
      </c>
      <c r="H105" s="55"/>
    </row>
    <row r="106">
      <c r="A106" s="52" t="str">
        <f>IF(Calculation!E105=Calculation!$A$140,Calculation!B105,"")</f>
        <v/>
      </c>
      <c r="B106" s="53" t="str">
        <f>IF(Calculation!E105=Calculation!$A$140,Calculation!I105,"")</f>
        <v/>
      </c>
      <c r="C106" s="52" t="str">
        <f>IF(Calculation!E105=Calculation!$A$140,Calculation!D105,"")</f>
        <v/>
      </c>
      <c r="D106" s="52" t="str">
        <f>IF(Calculation!E105=Calculation!$A$140,Calculation!C105,"")</f>
        <v/>
      </c>
      <c r="E106" s="52" t="str">
        <f>IF(Calculation!E105=Calculation!$A$140,Calculation!F105,"")</f>
        <v/>
      </c>
      <c r="F106" s="54" t="str">
        <f>IF(Calculation!E105=Calculation!$A$140,Calculation!G105,"")</f>
        <v/>
      </c>
      <c r="G106" s="54" t="str">
        <f>IF(Calculation!E105=Calculation!$A$140,Calculation!H105,"")</f>
        <v/>
      </c>
      <c r="H106" s="55"/>
    </row>
    <row r="107">
      <c r="A107" s="52" t="str">
        <f>IF(Calculation!E106=Calculation!$A$140,Calculation!B106,"")</f>
        <v/>
      </c>
      <c r="B107" s="53" t="str">
        <f>IF(Calculation!E106=Calculation!$A$140,Calculation!I106,"")</f>
        <v/>
      </c>
      <c r="C107" s="52" t="str">
        <f>IF(Calculation!E106=Calculation!$A$140,Calculation!D106,"")</f>
        <v/>
      </c>
      <c r="D107" s="52" t="str">
        <f>IF(Calculation!E106=Calculation!$A$140,Calculation!C106,"")</f>
        <v/>
      </c>
      <c r="E107" s="52" t="str">
        <f>IF(Calculation!E106=Calculation!$A$140,Calculation!F106,"")</f>
        <v/>
      </c>
      <c r="F107" s="54" t="str">
        <f>IF(Calculation!E106=Calculation!$A$140,Calculation!G106,"")</f>
        <v/>
      </c>
      <c r="G107" s="54" t="str">
        <f>IF(Calculation!E106=Calculation!$A$140,Calculation!H106,"")</f>
        <v/>
      </c>
      <c r="H107" s="55"/>
    </row>
    <row r="108">
      <c r="A108" s="52" t="str">
        <f>IF(Calculation!E107=Calculation!$A$140,Calculation!B107,"")</f>
        <v/>
      </c>
      <c r="B108" s="53" t="str">
        <f>IF(Calculation!E107=Calculation!$A$140,Calculation!I107,"")</f>
        <v/>
      </c>
      <c r="C108" s="52" t="str">
        <f>IF(Calculation!E107=Calculation!$A$140,Calculation!D107,"")</f>
        <v/>
      </c>
      <c r="D108" s="52" t="str">
        <f>IF(Calculation!E107=Calculation!$A$140,Calculation!C107,"")</f>
        <v/>
      </c>
      <c r="E108" s="52" t="str">
        <f>IF(Calculation!E107=Calculation!$A$140,Calculation!F107,"")</f>
        <v/>
      </c>
      <c r="F108" s="54" t="str">
        <f>IF(Calculation!E107=Calculation!$A$140,Calculation!G107,"")</f>
        <v/>
      </c>
      <c r="G108" s="54" t="str">
        <f>IF(Calculation!E107=Calculation!$A$140,Calculation!H107,"")</f>
        <v/>
      </c>
      <c r="H108" s="55"/>
    </row>
    <row r="109">
      <c r="A109" s="52" t="str">
        <f>IF(Calculation!E108=Calculation!$A$140,Calculation!B108,"")</f>
        <v/>
      </c>
      <c r="B109" s="53" t="str">
        <f>IF(Calculation!E108=Calculation!$A$140,Calculation!I108,"")</f>
        <v/>
      </c>
      <c r="C109" s="52" t="str">
        <f>IF(Calculation!E108=Calculation!$A$140,Calculation!D108,"")</f>
        <v/>
      </c>
      <c r="D109" s="52" t="str">
        <f>IF(Calculation!E108=Calculation!$A$140,Calculation!C108,"")</f>
        <v/>
      </c>
      <c r="E109" s="52" t="str">
        <f>IF(Calculation!E108=Calculation!$A$140,Calculation!F108,"")</f>
        <v/>
      </c>
      <c r="F109" s="54" t="str">
        <f>IF(Calculation!E108=Calculation!$A$140,Calculation!G108,"")</f>
        <v/>
      </c>
      <c r="G109" s="54" t="str">
        <f>IF(Calculation!E108=Calculation!$A$140,Calculation!H108,"")</f>
        <v/>
      </c>
      <c r="H109" s="55"/>
    </row>
    <row r="110">
      <c r="A110" s="52" t="str">
        <f>IF(Calculation!E109=Calculation!$A$140,Calculation!B109,"")</f>
        <v/>
      </c>
      <c r="B110" s="53" t="str">
        <f>IF(Calculation!E109=Calculation!$A$140,Calculation!I109,"")</f>
        <v/>
      </c>
      <c r="C110" s="52" t="str">
        <f>IF(Calculation!E109=Calculation!$A$140,Calculation!D109,"")</f>
        <v/>
      </c>
      <c r="D110" s="52" t="str">
        <f>IF(Calculation!E109=Calculation!$A$140,Calculation!C109,"")</f>
        <v/>
      </c>
      <c r="E110" s="52" t="str">
        <f>IF(Calculation!E109=Calculation!$A$140,Calculation!F109,"")</f>
        <v/>
      </c>
      <c r="F110" s="54" t="str">
        <f>IF(Calculation!E109=Calculation!$A$140,Calculation!G109,"")</f>
        <v/>
      </c>
      <c r="G110" s="54" t="str">
        <f>IF(Calculation!E109=Calculation!$A$140,Calculation!H109,"")</f>
        <v/>
      </c>
      <c r="H110" s="55"/>
    </row>
    <row r="111">
      <c r="A111" s="52" t="str">
        <f>IF(Calculation!E110=Calculation!$A$140,Calculation!B110,"")</f>
        <v/>
      </c>
      <c r="B111" s="53" t="str">
        <f>IF(Calculation!E110=Calculation!$A$140,Calculation!I110,"")</f>
        <v/>
      </c>
      <c r="C111" s="52" t="str">
        <f>IF(Calculation!E110=Calculation!$A$140,Calculation!D110,"")</f>
        <v/>
      </c>
      <c r="D111" s="52" t="str">
        <f>IF(Calculation!E110=Calculation!$A$140,Calculation!C110,"")</f>
        <v/>
      </c>
      <c r="E111" s="52" t="str">
        <f>IF(Calculation!E110=Calculation!$A$140,Calculation!F110,"")</f>
        <v/>
      </c>
      <c r="F111" s="54" t="str">
        <f>IF(Calculation!E110=Calculation!$A$140,Calculation!G110,"")</f>
        <v/>
      </c>
      <c r="G111" s="54" t="str">
        <f>IF(Calculation!E110=Calculation!$A$140,Calculation!H110,"")</f>
        <v/>
      </c>
      <c r="H111" s="55"/>
    </row>
    <row r="112">
      <c r="A112" s="52" t="str">
        <f>IF(Calculation!E111=Calculation!$A$140,Calculation!B111,"")</f>
        <v/>
      </c>
      <c r="B112" s="53" t="str">
        <f>IF(Calculation!E111=Calculation!$A$140,Calculation!I111,"")</f>
        <v/>
      </c>
      <c r="C112" s="52" t="str">
        <f>IF(Calculation!E111=Calculation!$A$140,Calculation!D111,"")</f>
        <v/>
      </c>
      <c r="D112" s="52" t="str">
        <f>IF(Calculation!E111=Calculation!$A$140,Calculation!C111,"")</f>
        <v/>
      </c>
      <c r="E112" s="52" t="str">
        <f>IF(Calculation!E111=Calculation!$A$140,Calculation!F111,"")</f>
        <v/>
      </c>
      <c r="F112" s="54" t="str">
        <f>IF(Calculation!E111=Calculation!$A$140,Calculation!G111,"")</f>
        <v/>
      </c>
      <c r="G112" s="54" t="str">
        <f>IF(Calculation!E111=Calculation!$A$140,Calculation!H111,"")</f>
        <v/>
      </c>
      <c r="H112" s="55"/>
    </row>
    <row r="113">
      <c r="A113" s="52" t="str">
        <f>IF(Calculation!E112=Calculation!$A$140,Calculation!B112,"")</f>
        <v/>
      </c>
      <c r="B113" s="53" t="str">
        <f>IF(Calculation!E112=Calculation!$A$140,Calculation!I112,"")</f>
        <v/>
      </c>
      <c r="C113" s="52" t="str">
        <f>IF(Calculation!E112=Calculation!$A$140,Calculation!D112,"")</f>
        <v/>
      </c>
      <c r="D113" s="52" t="str">
        <f>IF(Calculation!E112=Calculation!$A$140,Calculation!C112,"")</f>
        <v/>
      </c>
      <c r="E113" s="52" t="str">
        <f>IF(Calculation!E112=Calculation!$A$140,Calculation!F112,"")</f>
        <v/>
      </c>
      <c r="F113" s="54" t="str">
        <f>IF(Calculation!E112=Calculation!$A$140,Calculation!G112,"")</f>
        <v/>
      </c>
      <c r="G113" s="54" t="str">
        <f>IF(Calculation!E112=Calculation!$A$140,Calculation!H112,"")</f>
        <v/>
      </c>
      <c r="H113" s="55"/>
    </row>
    <row r="114">
      <c r="A114" s="52" t="str">
        <f>IF(Calculation!E113=Calculation!$A$140,Calculation!B113,"")</f>
        <v/>
      </c>
      <c r="B114" s="53" t="str">
        <f>IF(Calculation!E113=Calculation!$A$140,Calculation!I113,"")</f>
        <v/>
      </c>
      <c r="C114" s="52" t="str">
        <f>IF(Calculation!E113=Calculation!$A$140,Calculation!D113,"")</f>
        <v/>
      </c>
      <c r="D114" s="52" t="str">
        <f>IF(Calculation!E113=Calculation!$A$140,Calculation!C113,"")</f>
        <v/>
      </c>
      <c r="E114" s="52" t="str">
        <f>IF(Calculation!E113=Calculation!$A$140,Calculation!F113,"")</f>
        <v/>
      </c>
      <c r="F114" s="54" t="str">
        <f>IF(Calculation!E113=Calculation!$A$140,Calculation!G113,"")</f>
        <v/>
      </c>
      <c r="G114" s="54" t="str">
        <f>IF(Calculation!E113=Calculation!$A$140,Calculation!H113,"")</f>
        <v/>
      </c>
      <c r="H114" s="55"/>
    </row>
    <row r="115">
      <c r="A115" s="52" t="str">
        <f>IF(Calculation!E114=Calculation!$A$140,Calculation!B114,"")</f>
        <v/>
      </c>
      <c r="B115" s="53" t="str">
        <f>IF(Calculation!E114=Calculation!$A$140,Calculation!I114,"")</f>
        <v/>
      </c>
      <c r="C115" s="52" t="str">
        <f>IF(Calculation!E114=Calculation!$A$140,Calculation!D114,"")</f>
        <v/>
      </c>
      <c r="D115" s="52" t="str">
        <f>IF(Calculation!E114=Calculation!$A$140,Calculation!C114,"")</f>
        <v/>
      </c>
      <c r="E115" s="52" t="str">
        <f>IF(Calculation!E114=Calculation!$A$140,Calculation!F114,"")</f>
        <v/>
      </c>
      <c r="F115" s="54" t="str">
        <f>IF(Calculation!E114=Calculation!$A$140,Calculation!G114,"")</f>
        <v/>
      </c>
      <c r="G115" s="54" t="str">
        <f>IF(Calculation!E114=Calculation!$A$140,Calculation!H114,"")</f>
        <v/>
      </c>
      <c r="H115" s="55"/>
    </row>
    <row r="116">
      <c r="A116" s="52" t="str">
        <f>IF(Calculation!E115=Calculation!$A$140,Calculation!B115,"")</f>
        <v/>
      </c>
      <c r="B116" s="53" t="str">
        <f>IF(Calculation!E115=Calculation!$A$140,Calculation!I115,"")</f>
        <v/>
      </c>
      <c r="C116" s="52" t="str">
        <f>IF(Calculation!E115=Calculation!$A$140,Calculation!D115,"")</f>
        <v/>
      </c>
      <c r="D116" s="52" t="str">
        <f>IF(Calculation!E115=Calculation!$A$140,Calculation!C115,"")</f>
        <v/>
      </c>
      <c r="E116" s="52" t="str">
        <f>IF(Calculation!E115=Calculation!$A$140,Calculation!F115,"")</f>
        <v/>
      </c>
      <c r="F116" s="54" t="str">
        <f>IF(Calculation!E115=Calculation!$A$140,Calculation!G115,"")</f>
        <v/>
      </c>
      <c r="G116" s="54" t="str">
        <f>IF(Calculation!E115=Calculation!$A$140,Calculation!H115,"")</f>
        <v/>
      </c>
      <c r="H116" s="55"/>
    </row>
    <row r="117">
      <c r="A117" s="52" t="str">
        <f>IF(Calculation!E116=Calculation!$A$140,Calculation!B116,"")</f>
        <v/>
      </c>
      <c r="B117" s="53" t="str">
        <f>IF(Calculation!E116=Calculation!$A$140,Calculation!I116,"")</f>
        <v/>
      </c>
      <c r="C117" s="52" t="str">
        <f>IF(Calculation!E116=Calculation!$A$140,Calculation!D116,"")</f>
        <v/>
      </c>
      <c r="D117" s="52" t="str">
        <f>IF(Calculation!E116=Calculation!$A$140,Calculation!C116,"")</f>
        <v/>
      </c>
      <c r="E117" s="52" t="str">
        <f>IF(Calculation!E116=Calculation!$A$140,Calculation!F116,"")</f>
        <v/>
      </c>
      <c r="F117" s="54" t="str">
        <f>IF(Calculation!E116=Calculation!$A$140,Calculation!G116,"")</f>
        <v/>
      </c>
      <c r="G117" s="54" t="str">
        <f>IF(Calculation!E116=Calculation!$A$140,Calculation!H116,"")</f>
        <v/>
      </c>
      <c r="H117" s="55"/>
    </row>
    <row r="118">
      <c r="A118" s="52" t="str">
        <f>IF(Calculation!E117=Calculation!$A$140,Calculation!B117,"")</f>
        <v/>
      </c>
      <c r="B118" s="53" t="str">
        <f>IF(Calculation!E117=Calculation!$A$140,Calculation!I117,"")</f>
        <v/>
      </c>
      <c r="C118" s="52" t="str">
        <f>IF(Calculation!E117=Calculation!$A$140,Calculation!D117,"")</f>
        <v/>
      </c>
      <c r="D118" s="52" t="str">
        <f>IF(Calculation!E117=Calculation!$A$140,Calculation!C117,"")</f>
        <v/>
      </c>
      <c r="E118" s="52" t="str">
        <f>IF(Calculation!E117=Calculation!$A$140,Calculation!F117,"")</f>
        <v/>
      </c>
      <c r="F118" s="54" t="str">
        <f>IF(Calculation!E117=Calculation!$A$140,Calculation!G117,"")</f>
        <v/>
      </c>
      <c r="G118" s="54" t="str">
        <f>IF(Calculation!E117=Calculation!$A$140,Calculation!H117,"")</f>
        <v/>
      </c>
      <c r="H118" s="55"/>
    </row>
    <row r="119">
      <c r="A119" s="52" t="str">
        <f>IF(Calculation!E118=Calculation!$A$140,Calculation!B118,"")</f>
        <v/>
      </c>
      <c r="B119" s="53" t="str">
        <f>IF(Calculation!E118=Calculation!$A$140,Calculation!I118,"")</f>
        <v/>
      </c>
      <c r="C119" s="52" t="str">
        <f>IF(Calculation!E118=Calculation!$A$140,Calculation!D118,"")</f>
        <v/>
      </c>
      <c r="D119" s="52" t="str">
        <f>IF(Calculation!E118=Calculation!$A$140,Calculation!C118,"")</f>
        <v/>
      </c>
      <c r="E119" s="52" t="str">
        <f>IF(Calculation!E118=Calculation!$A$140,Calculation!F118,"")</f>
        <v/>
      </c>
      <c r="F119" s="54" t="str">
        <f>IF(Calculation!E118=Calculation!$A$140,Calculation!G118,"")</f>
        <v/>
      </c>
      <c r="G119" s="54" t="str">
        <f>IF(Calculation!E118=Calculation!$A$140,Calculation!H118,"")</f>
        <v/>
      </c>
      <c r="H119" s="55"/>
    </row>
    <row r="120">
      <c r="A120" s="52" t="str">
        <f>IF(Calculation!E119=Calculation!$A$140,Calculation!B119,"")</f>
        <v/>
      </c>
      <c r="B120" s="53" t="str">
        <f>IF(Calculation!E119=Calculation!$A$140,Calculation!I119,"")</f>
        <v/>
      </c>
      <c r="C120" s="52" t="str">
        <f>IF(Calculation!E119=Calculation!$A$140,Calculation!D119,"")</f>
        <v/>
      </c>
      <c r="D120" s="52" t="str">
        <f>IF(Calculation!E119=Calculation!$A$140,Calculation!C119,"")</f>
        <v/>
      </c>
      <c r="E120" s="52" t="str">
        <f>IF(Calculation!E119=Calculation!$A$140,Calculation!F119,"")</f>
        <v/>
      </c>
      <c r="F120" s="54" t="str">
        <f>IF(Calculation!E119=Calculation!$A$140,Calculation!G119,"")</f>
        <v/>
      </c>
      <c r="G120" s="54" t="str">
        <f>IF(Calculation!E119=Calculation!$A$140,Calculation!H119,"")</f>
        <v/>
      </c>
      <c r="H120" s="55"/>
    </row>
    <row r="121">
      <c r="A121" s="52" t="str">
        <f>IF(Calculation!E120=Calculation!$A$140,Calculation!B120,"")</f>
        <v/>
      </c>
      <c r="B121" s="53" t="str">
        <f>IF(Calculation!E120=Calculation!$A$140,Calculation!I120,"")</f>
        <v/>
      </c>
      <c r="C121" s="52" t="str">
        <f>IF(Calculation!E120=Calculation!$A$140,Calculation!D120,"")</f>
        <v/>
      </c>
      <c r="D121" s="52" t="str">
        <f>IF(Calculation!E120=Calculation!$A$140,Calculation!C120,"")</f>
        <v/>
      </c>
      <c r="E121" s="52" t="str">
        <f>IF(Calculation!E120=Calculation!$A$140,Calculation!F120,"")</f>
        <v/>
      </c>
      <c r="F121" s="54" t="str">
        <f>IF(Calculation!E120=Calculation!$A$140,Calculation!G120,"")</f>
        <v/>
      </c>
      <c r="G121" s="54" t="str">
        <f>IF(Calculation!E120=Calculation!$A$140,Calculation!H120,"")</f>
        <v/>
      </c>
      <c r="H121" s="55"/>
    </row>
    <row r="122">
      <c r="A122" s="52" t="str">
        <f>IF(Calculation!E121=Calculation!$A$140,Calculation!B121,"")</f>
        <v/>
      </c>
      <c r="B122" s="53" t="str">
        <f>IF(Calculation!E121=Calculation!$A$140,Calculation!I121,"")</f>
        <v/>
      </c>
      <c r="C122" s="52" t="str">
        <f>IF(Calculation!E121=Calculation!$A$140,Calculation!D121,"")</f>
        <v/>
      </c>
      <c r="D122" s="52" t="str">
        <f>IF(Calculation!E121=Calculation!$A$140,Calculation!C121,"")</f>
        <v/>
      </c>
      <c r="E122" s="52" t="str">
        <f>IF(Calculation!E121=Calculation!$A$140,Calculation!F121,"")</f>
        <v/>
      </c>
      <c r="F122" s="54" t="str">
        <f>IF(Calculation!E121=Calculation!$A$140,Calculation!G121,"")</f>
        <v/>
      </c>
      <c r="G122" s="54" t="str">
        <f>IF(Calculation!E121=Calculation!$A$140,Calculation!H121,"")</f>
        <v/>
      </c>
      <c r="H122" s="55"/>
    </row>
    <row r="123">
      <c r="A123" s="52" t="str">
        <f>IF(Calculation!E122=Calculation!$A$140,Calculation!B122,"")</f>
        <v/>
      </c>
      <c r="B123" s="53" t="str">
        <f>IF(Calculation!E122=Calculation!$A$140,Calculation!I122,"")</f>
        <v/>
      </c>
      <c r="C123" s="52" t="str">
        <f>IF(Calculation!E122=Calculation!$A$140,Calculation!D122,"")</f>
        <v/>
      </c>
      <c r="D123" s="52" t="str">
        <f>IF(Calculation!E122=Calculation!$A$140,Calculation!C122,"")</f>
        <v/>
      </c>
      <c r="E123" s="52" t="str">
        <f>IF(Calculation!E122=Calculation!$A$140,Calculation!F122,"")</f>
        <v/>
      </c>
      <c r="F123" s="54" t="str">
        <f>IF(Calculation!E122=Calculation!$A$140,Calculation!G122,"")</f>
        <v/>
      </c>
      <c r="G123" s="54" t="str">
        <f>IF(Calculation!E122=Calculation!$A$140,Calculation!H122,"")</f>
        <v/>
      </c>
      <c r="H123" s="55"/>
    </row>
    <row r="124">
      <c r="A124" s="52" t="str">
        <f>IF(Calculation!E123=Calculation!$A$140,Calculation!B123,"")</f>
        <v/>
      </c>
      <c r="B124" s="53" t="str">
        <f>IF(Calculation!E123=Calculation!$A$140,Calculation!I123,"")</f>
        <v/>
      </c>
      <c r="C124" s="52" t="str">
        <f>IF(Calculation!E123=Calculation!$A$140,Calculation!D123,"")</f>
        <v/>
      </c>
      <c r="D124" s="52" t="str">
        <f>IF(Calculation!E123=Calculation!$A$140,Calculation!C123,"")</f>
        <v/>
      </c>
      <c r="E124" s="52" t="str">
        <f>IF(Calculation!E123=Calculation!$A$140,Calculation!F123,"")</f>
        <v/>
      </c>
      <c r="F124" s="54" t="str">
        <f>IF(Calculation!E123=Calculation!$A$140,Calculation!G123,"")</f>
        <v/>
      </c>
      <c r="G124" s="54" t="str">
        <f>IF(Calculation!E123=Calculation!$A$140,Calculation!H123,"")</f>
        <v/>
      </c>
      <c r="H124" s="55"/>
    </row>
    <row r="125">
      <c r="A125" s="52" t="str">
        <f>IF(Calculation!E124=Calculation!$A$140,Calculation!B124,"")</f>
        <v/>
      </c>
      <c r="B125" s="53" t="str">
        <f>IF(Calculation!E124=Calculation!$A$140,Calculation!I124,"")</f>
        <v/>
      </c>
      <c r="C125" s="52" t="str">
        <f>IF(Calculation!E124=Calculation!$A$140,Calculation!D124,"")</f>
        <v/>
      </c>
      <c r="D125" s="52" t="str">
        <f>IF(Calculation!E124=Calculation!$A$140,Calculation!C124,"")</f>
        <v/>
      </c>
      <c r="E125" s="52" t="str">
        <f>IF(Calculation!E124=Calculation!$A$140,Calculation!F124,"")</f>
        <v/>
      </c>
      <c r="F125" s="54" t="str">
        <f>IF(Calculation!E124=Calculation!$A$140,Calculation!G124,"")</f>
        <v/>
      </c>
      <c r="G125" s="54" t="str">
        <f>IF(Calculation!E124=Calculation!$A$140,Calculation!H124,"")</f>
        <v/>
      </c>
      <c r="H125" s="55"/>
    </row>
    <row r="126">
      <c r="A126" s="52" t="str">
        <f>IF(Calculation!E125=Calculation!$A$140,Calculation!B125,"")</f>
        <v/>
      </c>
      <c r="B126" s="53" t="str">
        <f>IF(Calculation!E125=Calculation!$A$140,Calculation!I125,"")</f>
        <v/>
      </c>
      <c r="C126" s="52" t="str">
        <f>IF(Calculation!E125=Calculation!$A$140,Calculation!D125,"")</f>
        <v/>
      </c>
      <c r="D126" s="52" t="str">
        <f>IF(Calculation!E125=Calculation!$A$140,Calculation!C125,"")</f>
        <v/>
      </c>
      <c r="E126" s="52" t="str">
        <f>IF(Calculation!E125=Calculation!$A$140,Calculation!F125,"")</f>
        <v/>
      </c>
      <c r="F126" s="54" t="str">
        <f>IF(Calculation!E125=Calculation!$A$140,Calculation!G125,"")</f>
        <v/>
      </c>
      <c r="G126" s="54" t="str">
        <f>IF(Calculation!E125=Calculation!$A$140,Calculation!H125,"")</f>
        <v/>
      </c>
      <c r="H126" s="55"/>
    </row>
  </sheetData>
  <mergeCells count="37">
    <mergeCell ref="A1:H1"/>
    <mergeCell ref="L3:O3"/>
    <mergeCell ref="L4:O4"/>
    <mergeCell ref="L5:O5"/>
    <mergeCell ref="L6:N6"/>
    <mergeCell ref="L8:P8"/>
    <mergeCell ref="O9:P9"/>
    <mergeCell ref="L9:N9"/>
    <mergeCell ref="L10:N10"/>
    <mergeCell ref="O10:P10"/>
    <mergeCell ref="Q10:R10"/>
    <mergeCell ref="L11:N11"/>
    <mergeCell ref="O11:P11"/>
    <mergeCell ref="Q11:R11"/>
    <mergeCell ref="O14:P14"/>
    <mergeCell ref="Q14:R14"/>
    <mergeCell ref="L12:N12"/>
    <mergeCell ref="O12:P12"/>
    <mergeCell ref="Q12:R12"/>
    <mergeCell ref="L13:N13"/>
    <mergeCell ref="O13:P13"/>
    <mergeCell ref="Q13:R13"/>
    <mergeCell ref="L14:N14"/>
    <mergeCell ref="L20:O20"/>
    <mergeCell ref="L21:O21"/>
    <mergeCell ref="L22:O22"/>
    <mergeCell ref="L23:O23"/>
    <mergeCell ref="N25:P25"/>
    <mergeCell ref="N26:P26"/>
    <mergeCell ref="Q27:R27"/>
    <mergeCell ref="L15:N15"/>
    <mergeCell ref="O15:P15"/>
    <mergeCell ref="Q15:R15"/>
    <mergeCell ref="L16:N16"/>
    <mergeCell ref="O16:P16"/>
    <mergeCell ref="Q16:R16"/>
    <mergeCell ref="L18:O18"/>
  </mergeCells>
  <dataValidations>
    <dataValidation type="custom" allowBlank="1" showDropDown="1" sqref="O9 Q15">
      <formula1>OR(NOT(ISERROR(DATEVALUE(O9))), AND(ISNUMBER(O9), LEFT(CELL("format", O9))="D"))</formula1>
    </dataValidation>
  </dataValidations>
  <drawing r:id="rId1"/>
</worksheet>
</file>